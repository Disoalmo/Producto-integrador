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1a0cbcaa1578ba6d/Documentos/Proyecto-II/Mi proyecto/"/>
    </mc:Choice>
  </mc:AlternateContent>
  <xr:revisionPtr revIDLastSave="0" documentId="8_{610B7EF0-28A1-47E4-9935-9FB3C863ADA5}" xr6:coauthVersionLast="47" xr6:coauthVersionMax="47" xr10:uidLastSave="{00000000-0000-0000-0000-000000000000}"/>
  <bookViews>
    <workbookView xWindow="-108" yWindow="-108" windowWidth="23256" windowHeight="12456" xr2:uid="{09237162-E48A-46AF-9D51-603259C27B9B}"/>
  </bookViews>
  <sheets>
    <sheet name="Backlog" sheetId="3" r:id="rId1"/>
    <sheet name="Calendarización" sheetId="24" r:id="rId2"/>
    <sheet name="Sprint #1" sheetId="4" r:id="rId3"/>
    <sheet name="Sprint #2" sheetId="15" r:id="rId4"/>
    <sheet name="Sprint #3" sheetId="16" r:id="rId5"/>
    <sheet name="Sprint #4" sheetId="18" r:id="rId6"/>
    <sheet name="Sprint #5" sheetId="17" r:id="rId7"/>
    <sheet name="Sprint #6" sheetId="20" r:id="rId8"/>
    <sheet name="Sprint #7" sheetId="22" r:id="rId9"/>
    <sheet name="Sprint #8" sheetId="21" r:id="rId10"/>
    <sheet name="Sprint #9" sheetId="23" r:id="rId11"/>
  </sheets>
  <externalReferences>
    <externalReference r:id="rId12"/>
    <externalReference r:id="rId13"/>
  </externalReferences>
  <definedNames>
    <definedName name="HoraDeInicio" localSheetId="1">[1]Programación!$C$3</definedName>
    <definedName name="HoraDeInicio" localSheetId="3">[1]Programación!$C$3</definedName>
    <definedName name="HoraDeInicio" localSheetId="5">[1]Programación!$C$3</definedName>
    <definedName name="HoraDeInicio" localSheetId="7">[1]Programación!$C$3</definedName>
    <definedName name="HoraDeInicio" localSheetId="10">[2]Programación!$C$3</definedName>
    <definedName name="HoraDeInicio">[1]Programación!$C$3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24" l="1"/>
  <c r="F6" i="24" s="1"/>
  <c r="G6" i="24" s="1"/>
  <c r="F7" i="24" s="1"/>
  <c r="G7" i="24" s="1"/>
  <c r="F8" i="24" s="1"/>
  <c r="G8" i="24" s="1"/>
  <c r="F9" i="24" s="1"/>
  <c r="G9" i="24" s="1"/>
  <c r="F10" i="24" s="1"/>
  <c r="G10" i="24" s="1"/>
  <c r="F11" i="24" s="1"/>
  <c r="G11" i="24" s="1"/>
  <c r="F12" i="24" s="1"/>
  <c r="G12" i="24" s="1"/>
  <c r="F13" i="24" s="1"/>
  <c r="G13" i="24" s="1"/>
  <c r="F6" i="23"/>
  <c r="F37" i="23"/>
  <c r="I37" i="23"/>
  <c r="I38" i="23"/>
  <c r="I49" i="21"/>
  <c r="F49" i="21"/>
  <c r="I50" i="21"/>
  <c r="F6" i="21"/>
  <c r="I70" i="22"/>
  <c r="I71" i="22"/>
  <c r="F6" i="22"/>
  <c r="F70" i="22" s="1"/>
  <c r="F6" i="20"/>
  <c r="F47" i="20"/>
  <c r="I47" i="20"/>
  <c r="I48" i="20"/>
  <c r="I50" i="17"/>
  <c r="F50" i="17"/>
  <c r="I51" i="17"/>
  <c r="F6" i="17"/>
  <c r="F40" i="17"/>
  <c r="G36" i="18"/>
  <c r="G6" i="18"/>
  <c r="G21" i="18"/>
  <c r="J36" i="18"/>
  <c r="J37" i="18"/>
  <c r="J50" i="16"/>
  <c r="J51" i="16" s="1"/>
  <c r="G50" i="16"/>
  <c r="G7" i="16"/>
  <c r="F7" i="15"/>
  <c r="F36" i="15"/>
  <c r="F63" i="15"/>
  <c r="I63" i="15"/>
  <c r="I64" i="15"/>
  <c r="I44" i="4"/>
  <c r="I45" i="4" s="1"/>
  <c r="F44" i="4"/>
  <c r="F6" i="4" l="1"/>
</calcChain>
</file>

<file path=xl/sharedStrings.xml><?xml version="1.0" encoding="utf-8"?>
<sst xmlns="http://schemas.openxmlformats.org/spreadsheetml/2006/main" count="1505" uniqueCount="445">
  <si>
    <t>(ID) de la Historia</t>
  </si>
  <si>
    <t>Enunciado de la Historia</t>
  </si>
  <si>
    <t>Alias</t>
  </si>
  <si>
    <t>Estado</t>
  </si>
  <si>
    <t>Esfuerzo</t>
  </si>
  <si>
    <t xml:space="preserve"> (Sprint)</t>
  </si>
  <si>
    <t>Prioridad</t>
  </si>
  <si>
    <t>Comentarios</t>
  </si>
  <si>
    <t>#1</t>
  </si>
  <si>
    <t>Inicio de sesión</t>
  </si>
  <si>
    <t>#2</t>
  </si>
  <si>
    <t>HU01</t>
  </si>
  <si>
    <t>HU02</t>
  </si>
  <si>
    <t>HU03</t>
  </si>
  <si>
    <t>HU04</t>
  </si>
  <si>
    <t>HU05</t>
  </si>
  <si>
    <t>HU06</t>
  </si>
  <si>
    <t>HU07</t>
  </si>
  <si>
    <t>HU08</t>
  </si>
  <si>
    <t>HU09</t>
  </si>
  <si>
    <t>HU10</t>
  </si>
  <si>
    <t>Tareas</t>
  </si>
  <si>
    <t>#3</t>
  </si>
  <si>
    <t>#4</t>
  </si>
  <si>
    <t>#5</t>
  </si>
  <si>
    <t>#6</t>
  </si>
  <si>
    <t>#7</t>
  </si>
  <si>
    <t>#8</t>
  </si>
  <si>
    <t>Página principal</t>
  </si>
  <si>
    <t xml:space="preserve">Registro </t>
  </si>
  <si>
    <t xml:space="preserve">•Logo
•Diseño UI/UX
•Imagen o ilustración relacionada
•Título de pagina 
•Subtitulo con descripción de la pagina
•Información general de la página
•Botón de comenzar o registrarse
•Botón de inicio de sesión
</t>
  </si>
  <si>
    <t>El logo debe quedar estático para verse en cualquier otra pagina al navegar</t>
  </si>
  <si>
    <t>•Formulario de registro
•Campo de nombre de usuario
•Campo para correo
•Campo para contraseña
•Campo de confirmación de contraseña
•Botón de enviar y continuar</t>
  </si>
  <si>
    <t>No se permitirá continuar si hay campos faltantes
Se deben marcar en rojo los campos faltantes</t>
  </si>
  <si>
    <t>No se permitirá continuar si algún campo es incorrecto
Se mostrara un mensaje de advertencia si algo es incorrecto</t>
  </si>
  <si>
    <t>Objetivo</t>
  </si>
  <si>
    <t>Elemento de trabajo pendiente</t>
  </si>
  <si>
    <t>Puntos de historia</t>
  </si>
  <si>
    <t>Responsable</t>
  </si>
  <si>
    <t>Estimado original</t>
  </si>
  <si>
    <t>Día 1</t>
  </si>
  <si>
    <t>Día 2</t>
  </si>
  <si>
    <t>Día 3</t>
  </si>
  <si>
    <t>Día 4</t>
  </si>
  <si>
    <t>Día 5</t>
  </si>
  <si>
    <t>Día 6</t>
  </si>
  <si>
    <t>Día 7</t>
  </si>
  <si>
    <t>Día 8</t>
  </si>
  <si>
    <t>Día 9</t>
  </si>
  <si>
    <t>Día 10</t>
  </si>
  <si>
    <t>Revisión del Sprint</t>
  </si>
  <si>
    <t>Organización de contenido</t>
  </si>
  <si>
    <t xml:space="preserve">Diseño de imagen inicial </t>
  </si>
  <si>
    <t xml:space="preserve">Diseño Front-end </t>
  </si>
  <si>
    <t>Botón de inicio de sesión</t>
  </si>
  <si>
    <t>Total de puntos</t>
  </si>
  <si>
    <t>SPRINT #1 - Página principal</t>
  </si>
  <si>
    <t>Formulario de registro</t>
  </si>
  <si>
    <t>•Formulario de inicio de sesión
•Campo de usuario
•Campo para correo
•Campo para contraseña
•Botón para enviar y acceder 
•Opción de "olvide la contraseña"</t>
  </si>
  <si>
    <t xml:space="preserve">Cabecera </t>
  </si>
  <si>
    <t>Crear la cabecera</t>
  </si>
  <si>
    <t>Estilos de cabecera</t>
  </si>
  <si>
    <t>Titulo</t>
  </si>
  <si>
    <t>Posicionar el titulo en la pagina</t>
  </si>
  <si>
    <t>Posicionar subtitulo en la pagina</t>
  </si>
  <si>
    <t>Estilos  subtitulo</t>
  </si>
  <si>
    <t>Frase de subtitulo</t>
  </si>
  <si>
    <t xml:space="preserve">Botón de registro </t>
  </si>
  <si>
    <t>Estilos hover</t>
  </si>
  <si>
    <t>Agregar link a la pagina de registro</t>
  </si>
  <si>
    <t>Agregar link a la pagina de inicio de sesión</t>
  </si>
  <si>
    <t>Posicionar la sección</t>
  </si>
  <si>
    <t>Estilos de la sección de información</t>
  </si>
  <si>
    <t xml:space="preserve">Posicionar el botón </t>
  </si>
  <si>
    <t>Etilos de botón</t>
  </si>
  <si>
    <t>validación de campos</t>
  </si>
  <si>
    <t xml:space="preserve">Diseño de pagina </t>
  </si>
  <si>
    <t>Fijar posición de cabecera</t>
  </si>
  <si>
    <t>Ajustar tamaño de logo</t>
  </si>
  <si>
    <t xml:space="preserve">Ajustar tamaño de imagen </t>
  </si>
  <si>
    <t>Añadir área del subtitulo</t>
  </si>
  <si>
    <t>Añadir área de titulo</t>
  </si>
  <si>
    <t>Añadir botón</t>
  </si>
  <si>
    <t>Agregar sección de información</t>
  </si>
  <si>
    <t>Pendiente</t>
  </si>
  <si>
    <t>Añadir logo a la pagina</t>
  </si>
  <si>
    <t>*Color
*Tamaño
*Borde</t>
  </si>
  <si>
    <t>Fijar posición del logo</t>
  </si>
  <si>
    <t>Añadir imagen</t>
  </si>
  <si>
    <t xml:space="preserve">Estilos de titulo:
</t>
  </si>
  <si>
    <t>*Color
*Tipografia
*Tamaño</t>
  </si>
  <si>
    <t xml:space="preserve">Añadir toda la información adicional </t>
  </si>
  <si>
    <t>*Color
*Tipografia
*Tamaño
*Borde</t>
  </si>
  <si>
    <t>Estilos Hover</t>
  </si>
  <si>
    <t>Logo de cabecera</t>
  </si>
  <si>
    <t>Imagen principal</t>
  </si>
  <si>
    <t>Elementos visuales</t>
  </si>
  <si>
    <t xml:space="preserve">Colores de la pagina </t>
  </si>
  <si>
    <t>Tipografía a utilizar</t>
  </si>
  <si>
    <t>Color de botones</t>
  </si>
  <si>
    <t>Sprint #9</t>
  </si>
  <si>
    <t>Sprint #8</t>
  </si>
  <si>
    <t>Sprint #7</t>
  </si>
  <si>
    <t>Sprint #6</t>
  </si>
  <si>
    <t>Sprint #5</t>
  </si>
  <si>
    <t>Sprint #4</t>
  </si>
  <si>
    <t>Sprint #3</t>
  </si>
  <si>
    <t>Sprint #2</t>
  </si>
  <si>
    <t>Sprint #1</t>
  </si>
  <si>
    <t>Objetivo al finalizar</t>
  </si>
  <si>
    <t>Fecha de fin</t>
  </si>
  <si>
    <t>Fecha de inicio</t>
  </si>
  <si>
    <t>Dias estimados</t>
  </si>
  <si>
    <t>Puntos de historia estimados</t>
  </si>
  <si>
    <t>Entregable</t>
  </si>
  <si>
    <t>SPRINT</t>
  </si>
  <si>
    <t>Diana Alvarez</t>
  </si>
  <si>
    <t>SPRINT #2</t>
  </si>
  <si>
    <t>Animación de botones</t>
  </si>
  <si>
    <t>Sección de información adicional</t>
  </si>
  <si>
    <t>Diseño</t>
  </si>
  <si>
    <t>Titulo de registro</t>
  </si>
  <si>
    <t>Botón de envio</t>
  </si>
  <si>
    <t xml:space="preserve">Añadir botón </t>
  </si>
  <si>
    <t xml:space="preserve">Estilos de botón </t>
  </si>
  <si>
    <t>Envio de registro</t>
  </si>
  <si>
    <t>Almacenar informacion en un Endpoit</t>
  </si>
  <si>
    <r>
      <rPr>
        <b/>
        <sz val="11"/>
        <color theme="1"/>
        <rFont val="Aptos Narrow"/>
        <family val="2"/>
        <scheme val="minor"/>
      </rPr>
      <t>Dinero virtual</t>
    </r>
    <r>
      <rPr>
        <sz val="11"/>
        <color theme="1"/>
        <rFont val="Aptos Narrow"/>
        <family val="2"/>
        <scheme val="minor"/>
      </rPr>
      <t xml:space="preserve">
Como alumno quiero poder ver cuanto dinero virtual tengo para utilizarlo en inversiones</t>
    </r>
  </si>
  <si>
    <r>
      <rPr>
        <b/>
        <sz val="11"/>
        <color theme="1"/>
        <rFont val="Aptos Narrow"/>
        <family val="2"/>
        <scheme val="minor"/>
      </rPr>
      <t>Categorias de tipos de inversion</t>
    </r>
    <r>
      <rPr>
        <sz val="11"/>
        <color theme="1"/>
        <rFont val="Aptos Narrow"/>
        <family val="2"/>
        <scheme val="minor"/>
      </rPr>
      <t xml:space="preserve">
Como alumno quiero tener distintas opciones de inversión para tener inversiones distintas</t>
    </r>
  </si>
  <si>
    <r>
      <rPr>
        <b/>
        <sz val="11"/>
        <color theme="1"/>
        <rFont val="Aptos Narrow"/>
        <family val="2"/>
        <scheme val="minor"/>
      </rPr>
      <t>Empresas y precios dinamicos</t>
    </r>
    <r>
      <rPr>
        <sz val="11"/>
        <color theme="1"/>
        <rFont val="Aptos Narrow"/>
        <family val="2"/>
        <scheme val="minor"/>
      </rPr>
      <t xml:space="preserve">
Como alumno quiero poder ver las empresas y sus precios en tiempo real para poder analizar mi inversión</t>
    </r>
  </si>
  <si>
    <t>Encriptar contraseña</t>
  </si>
  <si>
    <t>Guardar usuario en la base de datos.</t>
  </si>
  <si>
    <t>Añadir mensaje de error</t>
  </si>
  <si>
    <t>Ocultar mensaje</t>
  </si>
  <si>
    <t>Programar vista del mensaje solo si hay un campo vacio</t>
  </si>
  <si>
    <t>Estilos del mensaje de error</t>
  </si>
  <si>
    <t>Tareas Back-end</t>
  </si>
  <si>
    <t>Titulo de inicio</t>
  </si>
  <si>
    <t>Validar la informacion del usuario</t>
  </si>
  <si>
    <t>Validar credenciales</t>
  </si>
  <si>
    <t>SPRINT #1</t>
  </si>
  <si>
    <t>SPRINT #3</t>
  </si>
  <si>
    <t>SPRINT #4</t>
  </si>
  <si>
    <t>SPRINT #5</t>
  </si>
  <si>
    <t>Añadir campo de usuario</t>
  </si>
  <si>
    <t>Añadir campo de correo</t>
  </si>
  <si>
    <t>Añadir campo de contraseña</t>
  </si>
  <si>
    <t>Añadir campo de Confirmación de contraseña</t>
  </si>
  <si>
    <t>Añadir campo para monto de dinero virtual</t>
  </si>
  <si>
    <t>Agregar reglas de validacion</t>
  </si>
  <si>
    <t xml:space="preserve">Añadir estilos al campo </t>
  </si>
  <si>
    <t>Estilos del formulario</t>
  </si>
  <si>
    <t>Posicionar el area del formulario</t>
  </si>
  <si>
    <t>Validar que todos los campos esten completos</t>
  </si>
  <si>
    <t>Evitar el envio de formulario hasta que se validen los campos</t>
  </si>
  <si>
    <t>Mensaje de campos vacios</t>
  </si>
  <si>
    <t>Iluminar campos vacios</t>
  </si>
  <si>
    <t>Agregar link para recuperacion de contraseña</t>
  </si>
  <si>
    <t>Mensaje de usuario invalido</t>
  </si>
  <si>
    <t>Acceder si el usuario se encuentra</t>
  </si>
  <si>
    <t>Front-end</t>
  </si>
  <si>
    <t>Validar toda la informacion</t>
  </si>
  <si>
    <t>Programar vista del mensaje y hay un error</t>
  </si>
  <si>
    <t>Añadir la cantidad de dinero virtual</t>
  </si>
  <si>
    <t>Obtener el monto desde la base de datos al acceder a la cuenta</t>
  </si>
  <si>
    <t>Crear API para obtener el monto en tiempo real</t>
  </si>
  <si>
    <t>Actualizar el saldo continuamente de acuerdo a las ganancias y perdidas</t>
  </si>
  <si>
    <t>Back-end</t>
  </si>
  <si>
    <t xml:space="preserve">•Añadir valor de dinero virtual
•Posicionar el valor en la pagina
•Agregar estilos al valor 
•Actual izar el valor en tiempo real
</t>
  </si>
  <si>
    <t xml:space="preserve">•Añadir barra lateral 
•Divir los titulos por sección
•Añadir estilos de la barra
•Añadir estilos hover 
</t>
  </si>
  <si>
    <t>•Organizar el contenido de la pagina
•Mostrar lista de empresas
•Mostar precios dinamicos
•Actualizar información en tiempo real
•Agregar estilos a la seccion
•Añadir estilos a la lista
•Añadir estilos hover al seleccionar una empresa</t>
  </si>
  <si>
    <t>Dinero virtual</t>
  </si>
  <si>
    <t>Categorias</t>
  </si>
  <si>
    <t>Tipo de inversión</t>
  </si>
  <si>
    <t>Empresas</t>
  </si>
  <si>
    <r>
      <rPr>
        <b/>
        <sz val="11"/>
        <color theme="1"/>
        <rFont val="Aptos Narrow"/>
        <family val="2"/>
        <scheme val="minor"/>
      </rPr>
      <t>Página principal</t>
    </r>
    <r>
      <rPr>
        <sz val="11"/>
        <color theme="1"/>
        <rFont val="Aptos Narrow"/>
        <family val="2"/>
        <scheme val="minor"/>
      </rPr>
      <t xml:space="preserve">
Como alumno quiero poder ver información general para saber de que trata el sitio.</t>
    </r>
  </si>
  <si>
    <r>
      <rPr>
        <b/>
        <sz val="11"/>
        <color theme="1"/>
        <rFont val="Aptos Narrow"/>
        <family val="2"/>
        <scheme val="minor"/>
      </rPr>
      <t>Registro de usuario</t>
    </r>
    <r>
      <rPr>
        <sz val="11"/>
        <color theme="1"/>
        <rFont val="Aptos Narrow"/>
        <family val="2"/>
        <scheme val="minor"/>
      </rPr>
      <t xml:space="preserve">
Como alumno quiero poder registrarme en el sitio para tener y manejar una cuenta propia</t>
    </r>
  </si>
  <si>
    <r>
      <rPr>
        <b/>
        <sz val="11"/>
        <color theme="1"/>
        <rFont val="Aptos Narrow"/>
        <family val="2"/>
        <scheme val="minor"/>
      </rPr>
      <t>Inicio de sesión</t>
    </r>
    <r>
      <rPr>
        <sz val="11"/>
        <color theme="1"/>
        <rFont val="Aptos Narrow"/>
        <family val="2"/>
        <scheme val="minor"/>
      </rPr>
      <t xml:space="preserve">
Como alumno quiero poder iniciar sesión para acceder a mi cuenta personal</t>
    </r>
  </si>
  <si>
    <t>pendiente</t>
  </si>
  <si>
    <t>Organización de categorias</t>
  </si>
  <si>
    <t>Añadir barra lateral</t>
  </si>
  <si>
    <t>Ajustar tamaño</t>
  </si>
  <si>
    <t>Añadir estilos</t>
  </si>
  <si>
    <t>Agregar estilos</t>
  </si>
  <si>
    <t>Estilos al seleccionarlo</t>
  </si>
  <si>
    <t>Posicionar en la pagina</t>
  </si>
  <si>
    <t>Añadir estilos por elemento de lista</t>
  </si>
  <si>
    <t>Estilos hover de los elementos</t>
  </si>
  <si>
    <t>Ordenar lista por alfabeto</t>
  </si>
  <si>
    <t>Almacenar temporalmente precios en una base de datos para no saturar la API externa.</t>
  </si>
  <si>
    <t>Implementar WebSocket o SSE para transmitir cambios en tiempo real a los usuarios.</t>
  </si>
  <si>
    <t>HU11</t>
  </si>
  <si>
    <t>HU12</t>
  </si>
  <si>
    <t>Graficos</t>
  </si>
  <si>
    <t>#9</t>
  </si>
  <si>
    <t>#10</t>
  </si>
  <si>
    <t>#11</t>
  </si>
  <si>
    <t>#12</t>
  </si>
  <si>
    <t>•Seccion de grafico al seleccionar la empresa
•Posicionar y ajustar la seccion del grafico
•Añadir estilos de seccion
•Obtener datos de API externa
•Crear grafico con los datos extraidos
•Añadir estilos al grafico
•Actualizar datos en tiempo real
•Añadir temporalidades</t>
  </si>
  <si>
    <r>
      <rPr>
        <b/>
        <sz val="11"/>
        <color theme="1"/>
        <rFont val="Aptos Narrow"/>
        <family val="2"/>
        <scheme val="minor"/>
      </rPr>
      <t>Graficos de empresa</t>
    </r>
    <r>
      <rPr>
        <sz val="11"/>
        <color theme="1"/>
        <rFont val="Aptos Narrow"/>
        <family val="2"/>
        <scheme val="minor"/>
      </rPr>
      <t xml:space="preserve">
Como alumno quiero poder ver gráficos de la empresa que seleccione para evaluar su comportamiento</t>
    </r>
  </si>
  <si>
    <t>•Seccion de compra y venta
•Nombre de la empresa
•Selección de compra o venta
•Campo de cantidad de acciones
•Mostrar precio
•Precio total de la compra o venta</t>
  </si>
  <si>
    <t>Compra y venta</t>
  </si>
  <si>
    <r>
      <rPr>
        <b/>
        <sz val="11"/>
        <color theme="1"/>
        <rFont val="Aptos Narrow"/>
        <family val="2"/>
        <scheme val="minor"/>
      </rPr>
      <t>Compra y venta de acciones</t>
    </r>
    <r>
      <rPr>
        <sz val="11"/>
        <color theme="1"/>
        <rFont val="Aptos Narrow"/>
        <family val="2"/>
        <scheme val="minor"/>
      </rPr>
      <t xml:space="preserve">
Como alumno quiero comprar y vender acciones con mi dinero virtual para aprender a invertir</t>
    </r>
  </si>
  <si>
    <t>Se actualizaran los datos en tiempo real</t>
  </si>
  <si>
    <t>Carpeta de inversion</t>
  </si>
  <si>
    <r>
      <rPr>
        <b/>
        <sz val="11"/>
        <color theme="1"/>
        <rFont val="Aptos Narrow"/>
        <family val="2"/>
        <scheme val="minor"/>
      </rPr>
      <t>Carpeta de inversion</t>
    </r>
    <r>
      <rPr>
        <sz val="11"/>
        <color theme="1"/>
        <rFont val="Aptos Narrow"/>
        <family val="2"/>
        <scheme val="minor"/>
      </rPr>
      <t xml:space="preserve">
Como alumno quiero tener mi carpeta de inversión para llevar una organización de mis inversiones</t>
    </r>
  </si>
  <si>
    <r>
      <rPr>
        <b/>
        <sz val="11"/>
        <color theme="1"/>
        <rFont val="Aptos Narrow"/>
        <family val="2"/>
        <scheme val="minor"/>
      </rPr>
      <t>Historial de ganancias</t>
    </r>
    <r>
      <rPr>
        <sz val="11"/>
        <color theme="1"/>
        <rFont val="Aptos Narrow"/>
        <family val="2"/>
        <scheme val="minor"/>
      </rPr>
      <t xml:space="preserve">
Como alumno quiero tener un historial de ganancias y perdidas para mejorar mis inversiones</t>
    </r>
  </si>
  <si>
    <t xml:space="preserve">Historial </t>
  </si>
  <si>
    <r>
      <rPr>
        <b/>
        <sz val="11"/>
        <color theme="1"/>
        <rFont val="Aptos Narrow"/>
        <family val="2"/>
        <scheme val="minor"/>
      </rPr>
      <t>Tutoriales</t>
    </r>
    <r>
      <rPr>
        <sz val="11"/>
        <color theme="1"/>
        <rFont val="Aptos Narrow"/>
        <family val="2"/>
        <scheme val="minor"/>
      </rPr>
      <t xml:space="preserve">
Como alumno quiero tener acceso a tutoriales y cursos para aprender estrategias de inversión</t>
    </r>
  </si>
  <si>
    <t>Tutoriales</t>
  </si>
  <si>
    <r>
      <rPr>
        <b/>
        <sz val="11"/>
        <color theme="1"/>
        <rFont val="Aptos Narrow"/>
        <family val="2"/>
        <scheme val="minor"/>
      </rPr>
      <t>Informacion de usuario</t>
    </r>
    <r>
      <rPr>
        <sz val="11"/>
        <color theme="1"/>
        <rFont val="Aptos Narrow"/>
        <family val="2"/>
        <scheme val="minor"/>
      </rPr>
      <t xml:space="preserve">
Como alumno quiero tener un perfil con mi información personal para poder actualizarla si es necesario</t>
    </r>
  </si>
  <si>
    <t>•Barra de tareas
•Añadir opcion de carpeta
•Añadir estilos a la opcion de la barra
•Redirigir a la pagina de la carpeta
•Diseño de la carpeta
•Mostar secciones por tipo de inversion
•Mostar inversiones activas
•Mostar ganancias por inversion, fecha de inicio y estatus</t>
  </si>
  <si>
    <t xml:space="preserve">•Añadir opcion a la barra de tareas
•Diseñar pagina de historial
•Mostar compras y ventas realizadas
•Mostar ganancias por accion
•Mostrar total acumulado
•Mostar opcion de temporalidad
•permitir ver detalle de ganancia o perdida </t>
  </si>
  <si>
    <t>•Añadir opcion a barra de tareas
•Diseño de la pagina 
•Seccionar los cuersos por nivel
•Accer a los videos
•Estilos de seccion 
•Reproduccion de videos</t>
  </si>
  <si>
    <t xml:space="preserve">•Diseñar campos editables
•Mostar el nombre de usuario
•Mostar correo utilizado
•Añadir opcion de cambio de ocntraseña
</t>
  </si>
  <si>
    <t>Usuario</t>
  </si>
  <si>
    <t>Crear tabla en la base de datos para cursos (título, descripción, categoría, recursos).</t>
  </si>
  <si>
    <t>Llamar API para obtener lista de cursos y detalles.</t>
  </si>
  <si>
    <t>Optimizar cálculos de rendimiento global y por período de tiempo.</t>
  </si>
  <si>
    <t>Crear endpoint para devolver historial completo del alumno.</t>
  </si>
  <si>
    <t>Crear tabla en base de datos para registrar operaciones con resultado.</t>
  </si>
  <si>
    <t>Permitir filtrar/ordenar por empresa, fecha o rendimiento.</t>
  </si>
  <si>
    <t>Llamar API para obtener las inversiones del usuario</t>
  </si>
  <si>
    <t>Registrar la transacción en base de datos</t>
  </si>
  <si>
    <t>Actualizar saldo virtual al finalizar</t>
  </si>
  <si>
    <t>Evitar la compra si no tiene acciones de esa empresa</t>
  </si>
  <si>
    <t>Evitar la compra si no tiene saldo suficiente</t>
  </si>
  <si>
    <t>Validar que se tengan esas acciones para la venta</t>
  </si>
  <si>
    <t>Validar que el saldo sea suficiente para la compra</t>
  </si>
  <si>
    <t>Crear endpoits para compra y venta de acciones</t>
  </si>
  <si>
    <t>Programar vista del mensaje solo si hay un campo vacío</t>
  </si>
  <si>
    <t>Iluminar campos vacíos</t>
  </si>
  <si>
    <t>Mensaje de campos vacíos</t>
  </si>
  <si>
    <t>Evitar la compra si hay campos vacíos</t>
  </si>
  <si>
    <t xml:space="preserve">Agregar estilos del total </t>
  </si>
  <si>
    <t>Añadir campo</t>
  </si>
  <si>
    <t>Obtener relacion entre numero de acciones y precio</t>
  </si>
  <si>
    <t>saldo total de la compra o venta</t>
  </si>
  <si>
    <t>Botón de resta de acción</t>
  </si>
  <si>
    <t>Boton de suma de acción</t>
  </si>
  <si>
    <t xml:space="preserve">Añadir contador </t>
  </si>
  <si>
    <t xml:space="preserve">Campo para indicar cantidad de acciones </t>
  </si>
  <si>
    <t xml:space="preserve">Obtener el precio de la empresa </t>
  </si>
  <si>
    <t>Añadir el campo</t>
  </si>
  <si>
    <t>Mostar el precio actual</t>
  </si>
  <si>
    <t>Optener Abreviatura de empresa seleccionada</t>
  </si>
  <si>
    <t>Mostar el nombre de la empresa</t>
  </si>
  <si>
    <t xml:space="preserve">Añadir estilos </t>
  </si>
  <si>
    <t>Obtener acciones disponibles de la base de datos</t>
  </si>
  <si>
    <t>Mostar acciones disponibles</t>
  </si>
  <si>
    <t>Obtener saldo de la abse de datos</t>
  </si>
  <si>
    <t xml:space="preserve">Mostrar saldo disponible </t>
  </si>
  <si>
    <t xml:space="preserve">Formulario y datos de la acción </t>
  </si>
  <si>
    <t>*Fondo
*Tamaño
*Borde
*Desplazamiento</t>
  </si>
  <si>
    <t>Estilos de la sección</t>
  </si>
  <si>
    <t>Posicionar la sección en la pagina</t>
  </si>
  <si>
    <t xml:space="preserve">Sección de compra y venta </t>
  </si>
  <si>
    <t xml:space="preserve">Actualizar datos en tiempo real </t>
  </si>
  <si>
    <t>Obtener información desde la API externa de la empresa seleccionada</t>
  </si>
  <si>
    <t>Opción de 1 mes</t>
  </si>
  <si>
    <t xml:space="preserve">Opción de 1 semana </t>
  </si>
  <si>
    <t>Opción de 1 día</t>
  </si>
  <si>
    <t>Opción para cambio de temporalidad</t>
  </si>
  <si>
    <t xml:space="preserve"> </t>
  </si>
  <si>
    <t>Mostar líneas del tablero</t>
  </si>
  <si>
    <t>Mostrar los datos que representa</t>
  </si>
  <si>
    <t xml:space="preserve">Mostrar grafica de línea </t>
  </si>
  <si>
    <t>Graficar los datos</t>
  </si>
  <si>
    <t>Sección de grafico por empresa</t>
  </si>
  <si>
    <t>Obtener información desde la API externa</t>
  </si>
  <si>
    <t>*Tamaño
*Color
*Tipografía</t>
  </si>
  <si>
    <t>Estilos de precio</t>
  </si>
  <si>
    <t>*Tamaño
*Color
*Tipografía
*Fondo
*Bordes</t>
  </si>
  <si>
    <t>Mostar precio por empresa</t>
  </si>
  <si>
    <t>Nombre de empresa</t>
  </si>
  <si>
    <t xml:space="preserve">Mostar abreviatura </t>
  </si>
  <si>
    <t>Seccionar la lista de elementos</t>
  </si>
  <si>
    <t>Sección de empresas</t>
  </si>
  <si>
    <t>Redirigir a la pagina si se selecciona</t>
  </si>
  <si>
    <t>*Tipografía
*Color
*Alineación
*Bordes</t>
  </si>
  <si>
    <t>Posicionar el botón</t>
  </si>
  <si>
    <t>Agregar categoría</t>
  </si>
  <si>
    <t>Opción para Criptomoneda</t>
  </si>
  <si>
    <t>Opción para ETF´s</t>
  </si>
  <si>
    <t>Opción para acciones</t>
  </si>
  <si>
    <t>Opción para bonos</t>
  </si>
  <si>
    <t>Agregar categoria</t>
  </si>
  <si>
    <t>Opción para fondos</t>
  </si>
  <si>
    <t>*Borde
*Color de fondo
*Alineacion</t>
  </si>
  <si>
    <t>Barra lateral</t>
  </si>
  <si>
    <t xml:space="preserve">Organización de botones </t>
  </si>
  <si>
    <t>Organizar seciones</t>
  </si>
  <si>
    <t>Diseño UI/UX de la pagina</t>
  </si>
  <si>
    <t>Horas</t>
  </si>
  <si>
    <t xml:space="preserve">Dias </t>
  </si>
  <si>
    <t>Crear endpoint para consultar inversiones activas y anteriores</t>
  </si>
  <si>
    <t>Vincular la carpeta al usuario</t>
  </si>
  <si>
    <t>Mostrar rendimientos</t>
  </si>
  <si>
    <t>Mostrar monto de inicio</t>
  </si>
  <si>
    <t xml:space="preserve">Mostrar estatus de la inversio </t>
  </si>
  <si>
    <t>Mostrar fecha de compra y venta</t>
  </si>
  <si>
    <t>Mostar nombre de la empresa</t>
  </si>
  <si>
    <t xml:space="preserve">Ocultar sección hasta presionar la inversion </t>
  </si>
  <si>
    <t xml:space="preserve">Añadir sección de detalles </t>
  </si>
  <si>
    <t>Detalles de inversion</t>
  </si>
  <si>
    <t xml:space="preserve">Mostar estatus de la inversion </t>
  </si>
  <si>
    <t>*alineacion
*Borde
*Color
*Tipografía</t>
  </si>
  <si>
    <t xml:space="preserve">Agregar estilos por elemento </t>
  </si>
  <si>
    <t xml:space="preserve">Dividir los elementos </t>
  </si>
  <si>
    <t xml:space="preserve">Ocultar lista hasta precionar el titulo de categoría </t>
  </si>
  <si>
    <t>listar todas las inversiones de esa categoría</t>
  </si>
  <si>
    <t xml:space="preserve">Listado de inversiones </t>
  </si>
  <si>
    <t>Añadir estilos hover</t>
  </si>
  <si>
    <t>Agregar estilos a cada bloque</t>
  </si>
  <si>
    <t>Añadir titulos</t>
  </si>
  <si>
    <t>posicionar los bloques de categoría</t>
  </si>
  <si>
    <t>Añadir categorías</t>
  </si>
  <si>
    <t xml:space="preserve">Secciones por tipos de inversion </t>
  </si>
  <si>
    <t>link de acceso a pagina de empresas</t>
  </si>
  <si>
    <t>Posicionar</t>
  </si>
  <si>
    <t xml:space="preserve"> Opcion de regresar al inicio o empresas</t>
  </si>
  <si>
    <t>link de acceso a pagina de carpeta</t>
  </si>
  <si>
    <t xml:space="preserve"> Opcion de carpeta </t>
  </si>
  <si>
    <t>Ajustar posiscion y tamaño de barra</t>
  </si>
  <si>
    <t>Añadir barra</t>
  </si>
  <si>
    <t>Barra superior de opciones</t>
  </si>
  <si>
    <t>Titulos</t>
  </si>
  <si>
    <t>Estilos visuales</t>
  </si>
  <si>
    <t>Botones a utilizar</t>
  </si>
  <si>
    <t>Organización de secciones</t>
  </si>
  <si>
    <t>Diseñar pagina de carpeta de inversión</t>
  </si>
  <si>
    <t>*Tipografía
*Color
*Tamaño
*Alineacion</t>
  </si>
  <si>
    <t xml:space="preserve">Agregar estilos </t>
  </si>
  <si>
    <t>Posicionar el campo en la barra de tareas</t>
  </si>
  <si>
    <t>Obtener la cantidad de la base de datos</t>
  </si>
  <si>
    <t>Tener lista una pagina principal donde cualquier alumno pueda revisar información general de la pagina.</t>
  </si>
  <si>
    <t xml:space="preserve">*Página principal
</t>
  </si>
  <si>
    <t>*Registro de usuario
*Inicio de sesión</t>
  </si>
  <si>
    <t>Tener listo los botones y formularios de registro e inicio de sesion para permitir al alumno ingresar</t>
  </si>
  <si>
    <t xml:space="preserve">
*Empresas
*Graficos</t>
  </si>
  <si>
    <t>*Tipos de inversion</t>
  </si>
  <si>
    <t>*Compra y venta
*Dinero virtual</t>
  </si>
  <si>
    <t>SPRINT #6</t>
  </si>
  <si>
    <t>SPRINT #7</t>
  </si>
  <si>
    <t>SPRINT #8</t>
  </si>
  <si>
    <t>SPRINT #9</t>
  </si>
  <si>
    <t>*Historial</t>
  </si>
  <si>
    <t>*Tutoriales</t>
  </si>
  <si>
    <t>*Usuario</t>
  </si>
  <si>
    <t>SPRINT #2 - Registro e inicio de sesión</t>
  </si>
  <si>
    <t>SPRINT #3- Tipos de inversión</t>
  </si>
  <si>
    <t>Tener lista una barra laterial con todos los tipos de inversion que el alumno puede analizar</t>
  </si>
  <si>
    <t>Mostar toda la información en tiempo real de las empresas y precios para que el alumno analice la compra</t>
  </si>
  <si>
    <t xml:space="preserve">
*Carpeta de inversión</t>
  </si>
  <si>
    <t>Que el alumno pueda acceder a su carpeta de inversión y mostar todas sus inversiones</t>
  </si>
  <si>
    <t>Mostar todo el historial de acciones y ganancias del alumno</t>
  </si>
  <si>
    <t>Tener una sección lista con todos los cursos y tutoriales</t>
  </si>
  <si>
    <t>Mostrar la información de usuario</t>
  </si>
  <si>
    <t>SPRINT #4 - Empresas</t>
  </si>
  <si>
    <t>Tener una sección para la compra y venta de acciones</t>
  </si>
  <si>
    <t>SPRINT #5 - Compra y venta</t>
  </si>
  <si>
    <t>SPRINT #6 - Carpeta de inversión</t>
  </si>
  <si>
    <t>SPRINT #7-Historial</t>
  </si>
  <si>
    <t xml:space="preserve">Diseñar pagina </t>
  </si>
  <si>
    <t>Dividir las secciones</t>
  </si>
  <si>
    <t>Diseñar los botones</t>
  </si>
  <si>
    <t>Añadir elementos visuales</t>
  </si>
  <si>
    <t>Diseñar listado de movimientos</t>
  </si>
  <si>
    <t>Seccion de movimientos</t>
  </si>
  <si>
    <t xml:space="preserve">Añadir sección </t>
  </si>
  <si>
    <t>Añadir estilos a la sección</t>
  </si>
  <si>
    <t>Listado de movimientos</t>
  </si>
  <si>
    <t>Optener la lista de movimeintos de la API</t>
  </si>
  <si>
    <t>Dividir los elementos obtenidos</t>
  </si>
  <si>
    <t>Añadir estilos por elemento</t>
  </si>
  <si>
    <t>Mostar fecha de la accion</t>
  </si>
  <si>
    <t>Obtener información de API</t>
  </si>
  <si>
    <t xml:space="preserve">Añadir bloque de información </t>
  </si>
  <si>
    <t>Posicionar bloque</t>
  </si>
  <si>
    <t xml:space="preserve">Mostar si fue compra o venta </t>
  </si>
  <si>
    <t>Mostar el monto al que se vendio o compro</t>
  </si>
  <si>
    <t>Listado de ganancias y perdidas</t>
  </si>
  <si>
    <t>Optener la lista de actualizaciones  de la API</t>
  </si>
  <si>
    <t>Dividir los resultados obtenidos</t>
  </si>
  <si>
    <t xml:space="preserve">Mostrar la fecha </t>
  </si>
  <si>
    <t>Mostar titulo de la empresa</t>
  </si>
  <si>
    <t>Mostar tipo de inversion</t>
  </si>
  <si>
    <t>Mostar ganancia o perdida</t>
  </si>
  <si>
    <t>Generalidades</t>
  </si>
  <si>
    <t>Añadir bloque de información</t>
  </si>
  <si>
    <t>Agregar estilos a la sección</t>
  </si>
  <si>
    <t>Mostrar total ganado o perdido</t>
  </si>
  <si>
    <t>Obtener dato de la API</t>
  </si>
  <si>
    <t xml:space="preserve">Añadir bloque </t>
  </si>
  <si>
    <t>Dividir ganancias por categoría</t>
  </si>
  <si>
    <t>Añadir bloques de categorias</t>
  </si>
  <si>
    <t xml:space="preserve">Añadir bloque de ganancia total </t>
  </si>
  <si>
    <t>Añadir estilos a los datos</t>
  </si>
  <si>
    <t>Crear lógica para calcular ganancia/pérdida de cada operación (precio compra vs venta).</t>
  </si>
  <si>
    <t>Crear endpoints para listar cursos</t>
  </si>
  <si>
    <t xml:space="preserve">Reproducir contenido multimedia </t>
  </si>
  <si>
    <t xml:space="preserve">Ageragr descripcion breve </t>
  </si>
  <si>
    <t>Ajustar tamaño y posicion del video</t>
  </si>
  <si>
    <t>Añadir la reproduccion</t>
  </si>
  <si>
    <t>Agregar estilos al titulo</t>
  </si>
  <si>
    <t>Añadir titulo de video</t>
  </si>
  <si>
    <t>Dividir bloques de videos</t>
  </si>
  <si>
    <t>Ocultar listado hasta presionar la categoría</t>
  </si>
  <si>
    <t>Añadir estilos del listado</t>
  </si>
  <si>
    <t>Agregar sección de videos</t>
  </si>
  <si>
    <t>Listado de videos</t>
  </si>
  <si>
    <t>Mostar listado de videos al presionarlo</t>
  </si>
  <si>
    <t>Agregar titulo</t>
  </si>
  <si>
    <t>Añadir categoría</t>
  </si>
  <si>
    <t>Categoría avanzado</t>
  </si>
  <si>
    <t>Categoría intermedio</t>
  </si>
  <si>
    <t>Categoría principiantes</t>
  </si>
  <si>
    <t>Division de categorias</t>
  </si>
  <si>
    <t xml:space="preserve">Diseñar titulos </t>
  </si>
  <si>
    <t>Diseñar estilos por categoría</t>
  </si>
  <si>
    <t>Diseñar pagina de tutoriales</t>
  </si>
  <si>
    <t>SPRINT #8 - Tutoriales</t>
  </si>
  <si>
    <t>Crear endpoint para consultar y actualizar datos del perfil.</t>
  </si>
  <si>
    <t>Crear API para guardar cambios y mostrar confirmación.</t>
  </si>
  <si>
    <t>Mandar alerta de confirmacion para salir</t>
  </si>
  <si>
    <t>Agregar estilos hover</t>
  </si>
  <si>
    <t>Añadir diseño</t>
  </si>
  <si>
    <t>Ajustar posicion</t>
  </si>
  <si>
    <t xml:space="preserve">Agregar botón </t>
  </si>
  <si>
    <t>Botón para salir de sesión</t>
  </si>
  <si>
    <t>Bloquear edicion</t>
  </si>
  <si>
    <t xml:space="preserve">Agregar estilos al bloque </t>
  </si>
  <si>
    <t>Obtener información de la API</t>
  </si>
  <si>
    <t>Agregar apartado</t>
  </si>
  <si>
    <t>Mostrar bloque de dinero virtual</t>
  </si>
  <si>
    <t>Botón de guardar al editar</t>
  </si>
  <si>
    <t xml:space="preserve">Agregar opcion de editar </t>
  </si>
  <si>
    <t>Mostrar bloque de correo</t>
  </si>
  <si>
    <t>Mostar bloque de nombre</t>
  </si>
  <si>
    <t xml:space="preserve">Contenido de la barra </t>
  </si>
  <si>
    <t>Ocultar barra hasta que el usuario haga hover en el botón de usuario</t>
  </si>
  <si>
    <t>Agregar sección</t>
  </si>
  <si>
    <t>Barra lateral con información</t>
  </si>
  <si>
    <t>Agregar botón de usuario a barra de tareas</t>
  </si>
  <si>
    <t>SPRINT #9 -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</si>
</sst>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theme="1"/>
      <name val="Aptos Narrow"/>
      <family val="2"/>
      <scheme val="minor"/>
    </font>
    <font>
      <b/>
      <sz val="11"/>
      <color rgb="FF000000"/>
      <name val="Calibri"/>
      <family val="2"/>
    </font>
    <font>
      <sz val="8"/>
      <name val="Aptos Narrow"/>
      <family val="2"/>
      <scheme val="minor"/>
    </font>
    <font>
      <sz val="11"/>
      <color rgb="FF000000"/>
      <name val="Aptos Narrow"/>
      <family val="2"/>
      <scheme val="minor"/>
    </font>
    <font>
      <b/>
      <sz val="16"/>
      <color theme="1"/>
      <name val="Aptos Narrow"/>
      <family val="2"/>
      <scheme val="minor"/>
    </font>
    <font>
      <b/>
      <sz val="16"/>
      <color theme="0"/>
      <name val="Aptos Narrow"/>
      <family val="2"/>
      <scheme val="minor"/>
    </font>
    <font>
      <b/>
      <sz val="12"/>
      <color theme="0"/>
      <name val="Aptos Narrow"/>
      <family val="2"/>
      <scheme val="minor"/>
    </font>
    <font>
      <sz val="12"/>
      <color theme="1"/>
      <name val="Arial"/>
      <family val="2"/>
    </font>
    <font>
      <b/>
      <sz val="12"/>
      <color theme="1"/>
      <name val="Aptos Narrow"/>
      <family val="2"/>
      <scheme val="minor"/>
    </font>
    <font>
      <sz val="12"/>
      <color theme="1"/>
      <name val="Aptos Narrow"/>
      <family val="2"/>
      <scheme val="minor"/>
    </font>
    <font>
      <sz val="14"/>
      <color rgb="FF555555"/>
      <name val="Arial"/>
      <family val="2"/>
    </font>
    <font>
      <sz val="16"/>
      <color rgb="FF555555"/>
      <name val="Arial"/>
      <family val="2"/>
    </font>
    <font>
      <b/>
      <sz val="12"/>
      <color theme="1"/>
      <name val="Arial"/>
      <family val="2"/>
    </font>
    <font>
      <b/>
      <sz val="16"/>
      <color theme="1"/>
      <name val="Arial"/>
      <family val="2"/>
    </font>
    <font>
      <b/>
      <sz val="14"/>
      <color rgb="FF000000"/>
      <name val="Calibri"/>
      <family val="2"/>
    </font>
    <font>
      <b/>
      <u/>
      <sz val="12"/>
      <color theme="1"/>
      <name val="Arial"/>
      <family val="2"/>
    </font>
  </fonts>
  <fills count="14">
    <fill>
      <patternFill patternType="none"/>
    </fill>
    <fill>
      <patternFill patternType="gray125"/>
    </fill>
    <fill>
      <patternFill patternType="solid">
        <fgColor rgb="FF2F5496"/>
        <bgColor indexed="64"/>
      </patternFill>
    </fill>
    <fill>
      <patternFill patternType="solid">
        <fgColor theme="2" tint="-9.9978637043366805E-2"/>
        <bgColor indexed="64"/>
      </patternFill>
    </fill>
    <fill>
      <patternFill patternType="solid">
        <fgColor theme="3"/>
        <bgColor indexed="64"/>
      </patternFill>
    </fill>
    <fill>
      <patternFill patternType="solid">
        <fgColor theme="4" tint="0.59999389629810485"/>
        <bgColor indexed="64"/>
      </patternFill>
    </fill>
    <fill>
      <patternFill patternType="solid">
        <fgColor rgb="FFDB6363"/>
        <bgColor indexed="64"/>
      </patternFill>
    </fill>
    <fill>
      <patternFill patternType="solid">
        <fgColor theme="3" tint="0.89999084444715716"/>
        <bgColor indexed="64"/>
      </patternFill>
    </fill>
    <fill>
      <patternFill patternType="solid">
        <fgColor rgb="FFE37979"/>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3" tint="0.749992370372631"/>
        <bgColor indexed="64"/>
      </patternFill>
    </fill>
    <fill>
      <patternFill patternType="solid">
        <fgColor theme="3" tint="0.249977111117893"/>
        <bgColor indexed="64"/>
      </patternFill>
    </fill>
  </fills>
  <borders count="3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diagonal/>
    </border>
  </borders>
  <cellStyleXfs count="2">
    <xf numFmtId="0" fontId="0" fillId="0" borderId="0"/>
    <xf numFmtId="0" fontId="10" fillId="0" borderId="0"/>
  </cellStyleXfs>
  <cellXfs count="118">
    <xf numFmtId="0" fontId="0" fillId="0" borderId="0" xfId="0"/>
    <xf numFmtId="0" fontId="2" fillId="2" borderId="2" xfId="0" applyFont="1" applyFill="1" applyBorder="1" applyAlignment="1">
      <alignment horizontal="center" vertical="center" wrapText="1"/>
    </xf>
    <xf numFmtId="0" fontId="1" fillId="0" borderId="0" xfId="0" applyFont="1"/>
    <xf numFmtId="0" fontId="0" fillId="0" borderId="6" xfId="0" applyBorder="1" applyAlignment="1">
      <alignment horizontal="center" vertical="center"/>
    </xf>
    <xf numFmtId="0" fontId="0" fillId="0" borderId="0" xfId="0" applyAlignment="1">
      <alignment horizontal="center" vertical="center"/>
    </xf>
    <xf numFmtId="0" fontId="6" fillId="4" borderId="0" xfId="0" applyFont="1" applyFill="1" applyAlignment="1">
      <alignment horizontal="center" vertical="center"/>
    </xf>
    <xf numFmtId="0" fontId="0" fillId="0" borderId="8" xfId="0" applyBorder="1" applyAlignment="1">
      <alignment vertical="center" wrapText="1"/>
    </xf>
    <xf numFmtId="0" fontId="8" fillId="0" borderId="13"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28" xfId="0" applyFont="1" applyBorder="1" applyAlignment="1">
      <alignment horizontal="center" vertical="center" wrapText="1"/>
    </xf>
    <xf numFmtId="0" fontId="0" fillId="0" borderId="7" xfId="0" applyBorder="1" applyAlignment="1">
      <alignment horizontal="center" vertical="center"/>
    </xf>
    <xf numFmtId="0" fontId="0" fillId="0" borderId="3" xfId="0" applyBorder="1" applyAlignment="1">
      <alignment horizontal="center" vertical="center"/>
    </xf>
    <xf numFmtId="0" fontId="0" fillId="0" borderId="13" xfId="0" applyBorder="1" applyAlignment="1">
      <alignment horizontal="center" vertical="center"/>
    </xf>
    <xf numFmtId="0" fontId="0" fillId="5" borderId="7" xfId="0" applyFill="1" applyBorder="1" applyAlignment="1">
      <alignment horizontal="center" vertical="center"/>
    </xf>
    <xf numFmtId="0" fontId="0" fillId="5" borderId="3" xfId="0" applyFill="1" applyBorder="1" applyAlignment="1">
      <alignment horizontal="center" vertical="center"/>
    </xf>
    <xf numFmtId="0" fontId="8" fillId="0" borderId="24" xfId="0" applyFont="1" applyBorder="1" applyAlignment="1">
      <alignment horizontal="center" vertical="center" wrapText="1"/>
    </xf>
    <xf numFmtId="0" fontId="10" fillId="0" borderId="0" xfId="1"/>
    <xf numFmtId="0" fontId="10" fillId="0" borderId="0" xfId="1" applyAlignment="1">
      <alignment horizontal="left"/>
    </xf>
    <xf numFmtId="0" fontId="10" fillId="3" borderId="13" xfId="1" applyFill="1" applyBorder="1" applyAlignment="1">
      <alignment horizontal="left" vertical="center" wrapText="1"/>
    </xf>
    <xf numFmtId="0" fontId="11" fillId="0" borderId="0" xfId="1" applyFont="1" applyAlignment="1">
      <alignment horizontal="center" vertical="center" wrapText="1"/>
    </xf>
    <xf numFmtId="0" fontId="11" fillId="0" borderId="0" xfId="1" applyFont="1" applyAlignment="1">
      <alignment horizontal="left" vertical="center" wrapText="1"/>
    </xf>
    <xf numFmtId="0" fontId="13" fillId="8" borderId="28" xfId="0" applyFont="1" applyFill="1" applyBorder="1" applyAlignment="1">
      <alignment horizontal="center" vertical="center" wrapText="1"/>
    </xf>
    <xf numFmtId="0" fontId="8" fillId="0" borderId="30" xfId="0" applyFont="1" applyBorder="1" applyAlignment="1">
      <alignment horizontal="center" vertical="center" wrapText="1"/>
    </xf>
    <xf numFmtId="0" fontId="13" fillId="8" borderId="13" xfId="0" applyFont="1" applyFill="1" applyBorder="1" applyAlignment="1">
      <alignment horizontal="center" vertical="center" wrapText="1"/>
    </xf>
    <xf numFmtId="0" fontId="8" fillId="0" borderId="18" xfId="0" applyFont="1" applyBorder="1" applyAlignment="1">
      <alignment horizontal="center" vertical="center" wrapText="1"/>
    </xf>
    <xf numFmtId="0" fontId="8" fillId="0" borderId="29" xfId="0" applyFont="1" applyBorder="1" applyAlignment="1">
      <alignment horizontal="center" vertical="center" wrapText="1"/>
    </xf>
    <xf numFmtId="0" fontId="8" fillId="3" borderId="11" xfId="0" applyFont="1" applyFill="1" applyBorder="1" applyAlignment="1">
      <alignment horizontal="center" vertical="center"/>
    </xf>
    <xf numFmtId="0" fontId="8" fillId="3" borderId="12" xfId="0" applyFont="1" applyFill="1" applyBorder="1" applyAlignment="1">
      <alignment horizontal="center" vertical="center"/>
    </xf>
    <xf numFmtId="0" fontId="8" fillId="3" borderId="5" xfId="0" applyFont="1" applyFill="1" applyBorder="1" applyAlignment="1">
      <alignment horizontal="center" vertical="center"/>
    </xf>
    <xf numFmtId="0" fontId="13" fillId="8" borderId="15" xfId="0" applyFont="1" applyFill="1" applyBorder="1" applyAlignment="1">
      <alignment horizontal="center" vertical="center" wrapText="1"/>
    </xf>
    <xf numFmtId="0" fontId="8" fillId="0" borderId="0" xfId="0" applyFont="1" applyAlignment="1">
      <alignment horizontal="center" vertical="center"/>
    </xf>
    <xf numFmtId="0" fontId="13" fillId="8" borderId="19" xfId="0" applyFont="1" applyFill="1" applyBorder="1" applyAlignment="1">
      <alignment horizontal="center" vertical="center" wrapText="1"/>
    </xf>
    <xf numFmtId="0" fontId="8" fillId="5" borderId="7" xfId="0" applyFont="1" applyFill="1" applyBorder="1" applyAlignment="1">
      <alignment horizontal="center" vertical="center"/>
    </xf>
    <xf numFmtId="0" fontId="8" fillId="5" borderId="3" xfId="0" applyFont="1" applyFill="1" applyBorder="1" applyAlignment="1">
      <alignment horizontal="center" vertical="center"/>
    </xf>
    <xf numFmtId="0" fontId="8" fillId="5" borderId="10" xfId="0" applyFont="1" applyFill="1" applyBorder="1" applyAlignment="1">
      <alignment horizontal="center" vertical="center"/>
    </xf>
    <xf numFmtId="0" fontId="8" fillId="0" borderId="0" xfId="0" applyFont="1" applyAlignment="1">
      <alignment horizontal="center" vertical="center" wrapText="1"/>
    </xf>
    <xf numFmtId="0" fontId="8" fillId="5" borderId="4" xfId="0" applyFont="1" applyFill="1" applyBorder="1" applyAlignment="1">
      <alignment horizontal="center" vertical="center"/>
    </xf>
    <xf numFmtId="0" fontId="14" fillId="5" borderId="1" xfId="0" applyFont="1" applyFill="1" applyBorder="1" applyAlignment="1">
      <alignment horizontal="center" vertical="center"/>
    </xf>
    <xf numFmtId="0" fontId="5" fillId="5" borderId="1" xfId="0" applyFont="1" applyFill="1" applyBorder="1" applyAlignment="1">
      <alignment horizontal="center" vertical="center"/>
    </xf>
    <xf numFmtId="0" fontId="15" fillId="9" borderId="1" xfId="0" applyFont="1" applyFill="1" applyBorder="1" applyAlignment="1">
      <alignment horizontal="center" vertical="center" wrapText="1"/>
    </xf>
    <xf numFmtId="0" fontId="15" fillId="9" borderId="6" xfId="0" applyFont="1" applyFill="1" applyBorder="1" applyAlignment="1">
      <alignment horizontal="center" vertical="center" wrapText="1"/>
    </xf>
    <xf numFmtId="0" fontId="15" fillId="9" borderId="3" xfId="0" applyFont="1" applyFill="1" applyBorder="1" applyAlignment="1">
      <alignment horizontal="center" vertical="center" wrapText="1"/>
    </xf>
    <xf numFmtId="0" fontId="13" fillId="5" borderId="10" xfId="0" applyFont="1" applyFill="1" applyBorder="1" applyAlignment="1">
      <alignment horizontal="center" vertical="center"/>
    </xf>
    <xf numFmtId="0" fontId="8" fillId="0" borderId="20"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34" xfId="0" applyFont="1" applyBorder="1" applyAlignment="1">
      <alignment horizontal="center" vertical="center" wrapText="1"/>
    </xf>
    <xf numFmtId="0" fontId="8" fillId="6" borderId="13" xfId="0" applyFont="1" applyFill="1" applyBorder="1" applyAlignment="1">
      <alignment horizontal="center" vertical="center" wrapText="1"/>
    </xf>
    <xf numFmtId="0" fontId="13" fillId="3" borderId="12" xfId="0" applyFont="1" applyFill="1" applyBorder="1" applyAlignment="1">
      <alignment horizontal="center" vertical="center"/>
    </xf>
    <xf numFmtId="0" fontId="8" fillId="0" borderId="16" xfId="0" applyFont="1" applyBorder="1" applyAlignment="1">
      <alignment horizontal="center" vertical="center" wrapText="1"/>
    </xf>
    <xf numFmtId="0" fontId="8" fillId="0" borderId="25" xfId="0" applyFont="1" applyBorder="1" applyAlignment="1">
      <alignment horizontal="center" vertical="center" wrapText="1"/>
    </xf>
    <xf numFmtId="0" fontId="14" fillId="5" borderId="2" xfId="0" applyFont="1" applyFill="1" applyBorder="1" applyAlignment="1">
      <alignment horizontal="center" vertical="center"/>
    </xf>
    <xf numFmtId="0" fontId="8" fillId="0" borderId="13" xfId="0" applyFont="1" applyBorder="1" applyAlignment="1">
      <alignment horizontal="center" vertical="center"/>
    </xf>
    <xf numFmtId="0" fontId="8" fillId="0" borderId="13" xfId="1" applyFont="1" applyBorder="1" applyAlignment="1">
      <alignment horizontal="center" vertical="center"/>
    </xf>
    <xf numFmtId="0" fontId="8" fillId="0" borderId="0" xfId="1" applyFont="1" applyAlignment="1">
      <alignment horizontal="center" vertical="center"/>
    </xf>
    <xf numFmtId="0" fontId="8" fillId="0" borderId="0" xfId="1" applyFont="1" applyAlignment="1">
      <alignment horizontal="center"/>
    </xf>
    <xf numFmtId="0" fontId="8" fillId="0" borderId="0" xfId="1" applyFont="1"/>
    <xf numFmtId="0" fontId="8" fillId="0" borderId="36" xfId="0" applyFont="1" applyBorder="1" applyAlignment="1">
      <alignment horizontal="center" vertical="center" wrapText="1"/>
    </xf>
    <xf numFmtId="0" fontId="13" fillId="8" borderId="22" xfId="0" applyFont="1" applyFill="1" applyBorder="1" applyAlignment="1">
      <alignment horizontal="center" vertical="center" wrapText="1"/>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3" xfId="0" applyFont="1" applyFill="1" applyBorder="1" applyAlignment="1">
      <alignment horizontal="center" vertical="center"/>
    </xf>
    <xf numFmtId="0" fontId="13" fillId="10" borderId="9" xfId="0" applyFont="1" applyFill="1" applyBorder="1" applyAlignment="1">
      <alignment horizontal="center" vertical="center" wrapText="1"/>
    </xf>
    <xf numFmtId="0" fontId="0" fillId="0" borderId="4" xfId="0" applyBorder="1" applyAlignment="1">
      <alignment horizontal="center"/>
    </xf>
    <xf numFmtId="0" fontId="13" fillId="10" borderId="11" xfId="0" applyFont="1" applyFill="1" applyBorder="1" applyAlignment="1">
      <alignment horizontal="center" vertical="center" wrapText="1"/>
    </xf>
    <xf numFmtId="1" fontId="0" fillId="0" borderId="5" xfId="0" applyNumberFormat="1" applyBorder="1" applyAlignment="1">
      <alignment horizontal="center"/>
    </xf>
    <xf numFmtId="0" fontId="9" fillId="12" borderId="0" xfId="1" applyFont="1" applyFill="1" applyAlignment="1">
      <alignment horizontal="center" vertical="center"/>
    </xf>
    <xf numFmtId="0" fontId="9" fillId="12" borderId="0" xfId="1" applyFont="1" applyFill="1" applyAlignment="1">
      <alignment horizontal="center" vertical="center" wrapText="1"/>
    </xf>
    <xf numFmtId="0" fontId="8" fillId="3" borderId="0" xfId="0" applyFont="1" applyFill="1" applyAlignment="1">
      <alignment horizontal="center" vertical="center"/>
    </xf>
    <xf numFmtId="0" fontId="13" fillId="3" borderId="7" xfId="0" applyFont="1" applyFill="1" applyBorder="1" applyAlignment="1">
      <alignment horizontal="center" vertical="center"/>
    </xf>
    <xf numFmtId="0" fontId="8" fillId="0" borderId="18" xfId="0" applyFont="1" applyBorder="1" applyAlignment="1">
      <alignment horizontal="center" vertical="center"/>
    </xf>
    <xf numFmtId="0" fontId="8" fillId="6" borderId="19" xfId="0" applyFont="1" applyFill="1" applyBorder="1" applyAlignment="1">
      <alignment horizontal="center" vertical="center" wrapText="1"/>
    </xf>
    <xf numFmtId="0" fontId="8" fillId="6" borderId="15" xfId="0" applyFont="1" applyFill="1" applyBorder="1" applyAlignment="1">
      <alignment horizontal="center" vertical="center" wrapText="1"/>
    </xf>
    <xf numFmtId="0" fontId="8" fillId="0" borderId="19" xfId="0" applyFont="1" applyBorder="1" applyAlignment="1">
      <alignment horizontal="center" vertical="center"/>
    </xf>
    <xf numFmtId="0" fontId="10" fillId="7" borderId="13" xfId="1" applyFill="1" applyBorder="1" applyAlignment="1">
      <alignment horizontal="center" vertical="center"/>
    </xf>
    <xf numFmtId="0" fontId="0" fillId="0" borderId="7" xfId="0" applyBorder="1" applyAlignment="1">
      <alignment horizontal="left" vertical="center" wrapText="1"/>
    </xf>
    <xf numFmtId="0" fontId="4" fillId="0" borderId="0" xfId="0" applyFont="1" applyAlignment="1">
      <alignment horizontal="center" vertical="center" wrapText="1"/>
    </xf>
    <xf numFmtId="0" fontId="0" fillId="0" borderId="7" xfId="0" applyBorder="1" applyAlignment="1">
      <alignment horizontal="center" vertical="center" wrapText="1"/>
    </xf>
    <xf numFmtId="0" fontId="0" fillId="0" borderId="3" xfId="0" applyBorder="1" applyAlignment="1">
      <alignment horizontal="center" vertical="center" wrapText="1"/>
    </xf>
    <xf numFmtId="15" fontId="10" fillId="0" borderId="13" xfId="1" applyNumberFormat="1" applyBorder="1" applyAlignment="1">
      <alignment horizontal="center" vertical="center"/>
    </xf>
    <xf numFmtId="0" fontId="10" fillId="0" borderId="13" xfId="1" applyBorder="1" applyAlignment="1">
      <alignment horizontal="center" vertical="center"/>
    </xf>
    <xf numFmtId="0" fontId="10" fillId="0" borderId="13" xfId="1" applyBorder="1" applyAlignment="1">
      <alignment horizontal="left" vertical="center"/>
    </xf>
    <xf numFmtId="0" fontId="10" fillId="0" borderId="13" xfId="1" applyBorder="1" applyAlignment="1">
      <alignment horizontal="left" vertical="center" wrapText="1"/>
    </xf>
    <xf numFmtId="0" fontId="9" fillId="12" borderId="13" xfId="1" applyFont="1" applyFill="1" applyBorder="1" applyAlignment="1">
      <alignment horizontal="center" vertical="center"/>
    </xf>
    <xf numFmtId="0" fontId="10" fillId="0" borderId="13" xfId="1" applyBorder="1" applyAlignment="1">
      <alignment horizontal="center" vertical="center" wrapText="1"/>
    </xf>
    <xf numFmtId="0" fontId="8" fillId="8" borderId="13" xfId="0" applyFont="1" applyFill="1" applyBorder="1" applyAlignment="1">
      <alignment horizontal="center" vertical="center" wrapText="1"/>
    </xf>
    <xf numFmtId="0" fontId="8" fillId="0" borderId="0" xfId="0" applyFont="1"/>
    <xf numFmtId="0" fontId="8" fillId="0" borderId="26" xfId="0" applyFont="1" applyBorder="1" applyAlignment="1">
      <alignment horizontal="center" vertical="center" wrapText="1"/>
    </xf>
    <xf numFmtId="0" fontId="8" fillId="5" borderId="10" xfId="0" applyFont="1" applyFill="1" applyBorder="1" applyAlignment="1">
      <alignment horizontal="center" vertical="center" wrapText="1"/>
    </xf>
    <xf numFmtId="0" fontId="16" fillId="8" borderId="13" xfId="0" applyFont="1" applyFill="1" applyBorder="1" applyAlignment="1">
      <alignment horizontal="center" vertical="center" wrapText="1"/>
    </xf>
    <xf numFmtId="0" fontId="7" fillId="13" borderId="13" xfId="1" applyFont="1" applyFill="1" applyBorder="1" applyAlignment="1">
      <alignment horizontal="center" vertical="center"/>
    </xf>
    <xf numFmtId="0" fontId="12" fillId="11" borderId="0" xfId="1" applyFont="1" applyFill="1" applyAlignment="1">
      <alignment horizontal="center" vertical="center" wrapText="1"/>
    </xf>
    <xf numFmtId="0" fontId="8" fillId="0" borderId="13"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14" xfId="0" applyFont="1" applyBorder="1" applyAlignment="1">
      <alignment horizontal="center" vertical="center"/>
    </xf>
    <xf numFmtId="0" fontId="8" fillId="0" borderId="17" xfId="0" applyFont="1" applyBorder="1" applyAlignment="1">
      <alignment horizontal="center" vertical="center"/>
    </xf>
    <xf numFmtId="0" fontId="8" fillId="0" borderId="21" xfId="0" applyFont="1" applyBorder="1" applyAlignment="1">
      <alignment horizontal="center" vertical="center"/>
    </xf>
    <xf numFmtId="0" fontId="15" fillId="9" borderId="6" xfId="0" applyFont="1" applyFill="1" applyBorder="1" applyAlignment="1">
      <alignment horizontal="center" vertical="center" wrapText="1"/>
    </xf>
    <xf numFmtId="0" fontId="15" fillId="9" borderId="7" xfId="0" applyFont="1" applyFill="1" applyBorder="1" applyAlignment="1">
      <alignment horizontal="center" vertical="center" wrapText="1"/>
    </xf>
    <xf numFmtId="0" fontId="15" fillId="9" borderId="3" xfId="0" applyFont="1" applyFill="1" applyBorder="1" applyAlignment="1">
      <alignment horizontal="center" vertical="center" wrapText="1"/>
    </xf>
    <xf numFmtId="0" fontId="8" fillId="0" borderId="31"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8" xfId="0" applyFont="1" applyBorder="1" applyAlignment="1">
      <alignment horizontal="center" vertical="center" wrapText="1"/>
    </xf>
    <xf numFmtId="0" fontId="5" fillId="3" borderId="0" xfId="0" applyFont="1" applyFill="1" applyAlignment="1">
      <alignment horizontal="center" vertical="center"/>
    </xf>
    <xf numFmtId="0" fontId="8" fillId="3" borderId="8" xfId="0" applyFont="1" applyFill="1" applyBorder="1" applyAlignment="1">
      <alignment horizontal="center" vertical="center" wrapText="1"/>
    </xf>
    <xf numFmtId="0" fontId="8" fillId="3" borderId="0" xfId="0" applyFont="1" applyFill="1" applyAlignment="1">
      <alignment horizontal="center" vertical="center" wrapText="1"/>
    </xf>
    <xf numFmtId="0" fontId="8" fillId="0" borderId="27"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32" xfId="0" applyFont="1" applyBorder="1" applyAlignment="1">
      <alignment horizontal="center" vertical="center" wrapText="1"/>
    </xf>
    <xf numFmtId="0" fontId="8" fillId="0" borderId="22" xfId="0" applyFont="1" applyBorder="1" applyAlignment="1">
      <alignment horizontal="center" vertical="center"/>
    </xf>
    <xf numFmtId="0" fontId="8" fillId="0" borderId="24" xfId="0" applyFont="1" applyBorder="1" applyAlignment="1">
      <alignment horizontal="center" vertical="center"/>
    </xf>
    <xf numFmtId="0" fontId="8" fillId="0" borderId="13" xfId="0" applyFont="1" applyBorder="1" applyAlignment="1">
      <alignment horizontal="center" vertical="center"/>
    </xf>
    <xf numFmtId="0" fontId="8" fillId="0" borderId="19" xfId="0" applyFont="1" applyBorder="1" applyAlignment="1">
      <alignment horizontal="center" vertical="center"/>
    </xf>
    <xf numFmtId="0" fontId="8" fillId="0" borderId="28" xfId="0" applyFont="1" applyBorder="1" applyAlignment="1">
      <alignment horizontal="center" vertical="center"/>
    </xf>
  </cellXfs>
  <cellStyles count="2">
    <cellStyle name="Normal" xfId="0" builtinId="0"/>
    <cellStyle name="Normal 2" xfId="1" xr:uid="{CE2569E1-71B0-479D-AC02-0819F82F84D0}"/>
  </cellStyles>
  <dxfs count="0"/>
  <tableStyles count="0" defaultTableStyle="TableStyleMedium2" defaultPivotStyle="PivotStyleLight16"/>
  <colors>
    <mruColors>
      <color rgb="FFE379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1</xdr:col>
      <xdr:colOff>130969</xdr:colOff>
      <xdr:row>16</xdr:row>
      <xdr:rowOff>23813</xdr:rowOff>
    </xdr:from>
    <xdr:ext cx="2785498" cy="1655678"/>
    <xdr:pic>
      <xdr:nvPicPr>
        <xdr:cNvPr id="2" name="Imagen 1">
          <a:extLst>
            <a:ext uri="{FF2B5EF4-FFF2-40B4-BE49-F238E27FC236}">
              <a16:creationId xmlns:a16="http://schemas.microsoft.com/office/drawing/2014/main" id="{8B76E879-4A6E-401E-8E24-D9A9C455BA9D}"/>
            </a:ext>
          </a:extLst>
        </xdr:cNvPr>
        <xdr:cNvPicPr>
          <a:picLocks noChangeAspect="1"/>
        </xdr:cNvPicPr>
      </xdr:nvPicPr>
      <xdr:blipFill>
        <a:blip xmlns:r="http://schemas.openxmlformats.org/officeDocument/2006/relationships" r:embed="rId1"/>
        <a:stretch>
          <a:fillRect/>
        </a:stretch>
      </xdr:blipFill>
      <xdr:spPr>
        <a:xfrm>
          <a:off x="925354" y="2915603"/>
          <a:ext cx="2785498" cy="1655678"/>
        </a:xfrm>
        <a:prstGeom prst="rect">
          <a:avLst/>
        </a:prstGeom>
      </xdr:spPr>
    </xdr:pic>
    <xdr:clientData/>
  </xdr:oneCellAnchor>
  <xdr:oneCellAnchor>
    <xdr:from>
      <xdr:col>4</xdr:col>
      <xdr:colOff>130968</xdr:colOff>
      <xdr:row>16</xdr:row>
      <xdr:rowOff>0</xdr:rowOff>
    </xdr:from>
    <xdr:ext cx="2606406" cy="2690235"/>
    <xdr:pic>
      <xdr:nvPicPr>
        <xdr:cNvPr id="3" name="Imagen 2">
          <a:extLst>
            <a:ext uri="{FF2B5EF4-FFF2-40B4-BE49-F238E27FC236}">
              <a16:creationId xmlns:a16="http://schemas.microsoft.com/office/drawing/2014/main" id="{B432D5E1-35BB-414B-8D56-88D2466F934A}"/>
            </a:ext>
          </a:extLst>
        </xdr:cNvPr>
        <xdr:cNvPicPr>
          <a:picLocks noChangeAspect="1"/>
        </xdr:cNvPicPr>
      </xdr:nvPicPr>
      <xdr:blipFill>
        <a:blip xmlns:r="http://schemas.openxmlformats.org/officeDocument/2006/relationships" r:embed="rId2"/>
        <a:stretch>
          <a:fillRect/>
        </a:stretch>
      </xdr:blipFill>
      <xdr:spPr>
        <a:xfrm>
          <a:off x="3297078" y="2895600"/>
          <a:ext cx="2606406" cy="2690235"/>
        </a:xfrm>
        <a:prstGeom prst="rect">
          <a:avLst/>
        </a:prstGeom>
      </xdr:spPr>
    </xdr:pic>
    <xdr:clientData/>
  </xdr:oneCellAnchor>
  <xdr:oneCellAnchor>
    <xdr:from>
      <xdr:col>7</xdr:col>
      <xdr:colOff>214313</xdr:colOff>
      <xdr:row>15</xdr:row>
      <xdr:rowOff>196215</xdr:rowOff>
    </xdr:from>
    <xdr:ext cx="2707005" cy="1863965"/>
    <xdr:pic>
      <xdr:nvPicPr>
        <xdr:cNvPr id="4" name="Imagen 3">
          <a:extLst>
            <a:ext uri="{FF2B5EF4-FFF2-40B4-BE49-F238E27FC236}">
              <a16:creationId xmlns:a16="http://schemas.microsoft.com/office/drawing/2014/main" id="{FAC790D0-F6D6-4C1D-9029-2EF26998E26C}"/>
            </a:ext>
          </a:extLst>
        </xdr:cNvPr>
        <xdr:cNvPicPr>
          <a:picLocks noChangeAspect="1"/>
        </xdr:cNvPicPr>
      </xdr:nvPicPr>
      <xdr:blipFill>
        <a:blip xmlns:r="http://schemas.openxmlformats.org/officeDocument/2006/relationships" r:embed="rId3"/>
        <a:stretch>
          <a:fillRect/>
        </a:stretch>
      </xdr:blipFill>
      <xdr:spPr>
        <a:xfrm>
          <a:off x="5744528" y="2893695"/>
          <a:ext cx="2707005" cy="1863965"/>
        </a:xfrm>
        <a:prstGeom prst="rect">
          <a:avLst/>
        </a:prstGeom>
      </xdr:spPr>
    </xdr:pic>
    <xdr:clientData/>
  </xdr:oneCellAnchor>
  <xdr:oneCellAnchor>
    <xdr:from>
      <xdr:col>8</xdr:col>
      <xdr:colOff>178594</xdr:colOff>
      <xdr:row>16</xdr:row>
      <xdr:rowOff>23813</xdr:rowOff>
    </xdr:from>
    <xdr:ext cx="2562583" cy="2785498"/>
    <xdr:pic>
      <xdr:nvPicPr>
        <xdr:cNvPr id="5" name="Imagen 4">
          <a:extLst>
            <a:ext uri="{FF2B5EF4-FFF2-40B4-BE49-F238E27FC236}">
              <a16:creationId xmlns:a16="http://schemas.microsoft.com/office/drawing/2014/main" id="{0C23BCF7-B5F9-4D25-BA96-7D35F7B3D865}"/>
            </a:ext>
          </a:extLst>
        </xdr:cNvPr>
        <xdr:cNvPicPr>
          <a:picLocks noChangeAspect="1"/>
        </xdr:cNvPicPr>
      </xdr:nvPicPr>
      <xdr:blipFill>
        <a:blip xmlns:r="http://schemas.openxmlformats.org/officeDocument/2006/relationships" r:embed="rId4"/>
        <a:stretch>
          <a:fillRect/>
        </a:stretch>
      </xdr:blipFill>
      <xdr:spPr>
        <a:xfrm>
          <a:off x="6499384" y="2915603"/>
          <a:ext cx="2562583" cy="2785498"/>
        </a:xfrm>
        <a:prstGeom prst="rect">
          <a:avLst/>
        </a:prstGeom>
      </xdr:spPr>
    </xdr:pic>
    <xdr:clientData/>
  </xdr:oneCellAnchor>
  <xdr:oneCellAnchor>
    <xdr:from>
      <xdr:col>10</xdr:col>
      <xdr:colOff>932497</xdr:colOff>
      <xdr:row>16</xdr:row>
      <xdr:rowOff>45720</xdr:rowOff>
    </xdr:from>
    <xdr:ext cx="2665470" cy="2644510"/>
    <xdr:pic>
      <xdr:nvPicPr>
        <xdr:cNvPr id="6" name="Imagen 5">
          <a:extLst>
            <a:ext uri="{FF2B5EF4-FFF2-40B4-BE49-F238E27FC236}">
              <a16:creationId xmlns:a16="http://schemas.microsoft.com/office/drawing/2014/main" id="{5404705E-3F81-4F4B-876D-B9ACA519DB9C}"/>
            </a:ext>
          </a:extLst>
        </xdr:cNvPr>
        <xdr:cNvPicPr>
          <a:picLocks noChangeAspect="1"/>
        </xdr:cNvPicPr>
      </xdr:nvPicPr>
      <xdr:blipFill>
        <a:blip xmlns:r="http://schemas.openxmlformats.org/officeDocument/2006/relationships" r:embed="rId5"/>
        <a:stretch>
          <a:fillRect/>
        </a:stretch>
      </xdr:blipFill>
      <xdr:spPr>
        <a:xfrm>
          <a:off x="8699182" y="2943225"/>
          <a:ext cx="2665470" cy="2644510"/>
        </a:xfrm>
        <a:prstGeom prst="rect">
          <a:avLst/>
        </a:prstGeom>
      </xdr:spPr>
    </xdr:pic>
    <xdr:clientData/>
  </xdr:oneCellAnchor>
  <xdr:oneCellAnchor>
    <xdr:from>
      <xdr:col>14</xdr:col>
      <xdr:colOff>81439</xdr:colOff>
      <xdr:row>16</xdr:row>
      <xdr:rowOff>20002</xdr:rowOff>
    </xdr:from>
    <xdr:ext cx="2558773" cy="1865256"/>
    <xdr:pic>
      <xdr:nvPicPr>
        <xdr:cNvPr id="7" name="Imagen 6">
          <a:extLst>
            <a:ext uri="{FF2B5EF4-FFF2-40B4-BE49-F238E27FC236}">
              <a16:creationId xmlns:a16="http://schemas.microsoft.com/office/drawing/2014/main" id="{53E6EB57-4F88-4174-ACAA-87C554C90AAA}"/>
            </a:ext>
          </a:extLst>
        </xdr:cNvPr>
        <xdr:cNvPicPr>
          <a:picLocks noChangeAspect="1"/>
        </xdr:cNvPicPr>
      </xdr:nvPicPr>
      <xdr:blipFill>
        <a:blip xmlns:r="http://schemas.openxmlformats.org/officeDocument/2006/relationships" r:embed="rId6"/>
        <a:stretch>
          <a:fillRect/>
        </a:stretch>
      </xdr:blipFill>
      <xdr:spPr>
        <a:xfrm>
          <a:off x="11151394" y="2911792"/>
          <a:ext cx="2558773" cy="1865256"/>
        </a:xfrm>
        <a:prstGeom prst="rect">
          <a:avLst/>
        </a:prstGeom>
      </xdr:spPr>
    </xdr:pic>
    <xdr:clientData/>
  </xdr:oneCellAnchor>
  <xdr:oneCellAnchor>
    <xdr:from>
      <xdr:col>17</xdr:col>
      <xdr:colOff>57625</xdr:colOff>
      <xdr:row>16</xdr:row>
      <xdr:rowOff>41433</xdr:rowOff>
    </xdr:from>
    <xdr:ext cx="2659380" cy="1874997"/>
    <xdr:pic>
      <xdr:nvPicPr>
        <xdr:cNvPr id="8" name="Imagen 7">
          <a:extLst>
            <a:ext uri="{FF2B5EF4-FFF2-40B4-BE49-F238E27FC236}">
              <a16:creationId xmlns:a16="http://schemas.microsoft.com/office/drawing/2014/main" id="{1741A3E7-F99E-4326-9C42-13B25162D3A5}"/>
            </a:ext>
          </a:extLst>
        </xdr:cNvPr>
        <xdr:cNvPicPr>
          <a:picLocks noChangeAspect="1"/>
        </xdr:cNvPicPr>
      </xdr:nvPicPr>
      <xdr:blipFill>
        <a:blip xmlns:r="http://schemas.openxmlformats.org/officeDocument/2006/relationships" r:embed="rId7"/>
        <a:stretch>
          <a:fillRect/>
        </a:stretch>
      </xdr:blipFill>
      <xdr:spPr>
        <a:xfrm>
          <a:off x="13493590" y="2937033"/>
          <a:ext cx="2659380" cy="1874997"/>
        </a:xfrm>
        <a:prstGeom prst="rect">
          <a:avLst/>
        </a:prstGeom>
      </xdr:spPr>
    </xdr:pic>
    <xdr:clientData/>
  </xdr:oneCellAnchor>
  <xdr:oneCellAnchor>
    <xdr:from>
      <xdr:col>23</xdr:col>
      <xdr:colOff>35719</xdr:colOff>
      <xdr:row>16</xdr:row>
      <xdr:rowOff>25717</xdr:rowOff>
    </xdr:from>
    <xdr:ext cx="2602594" cy="1840485"/>
    <xdr:pic>
      <xdr:nvPicPr>
        <xdr:cNvPr id="9" name="Imagen 8">
          <a:extLst>
            <a:ext uri="{FF2B5EF4-FFF2-40B4-BE49-F238E27FC236}">
              <a16:creationId xmlns:a16="http://schemas.microsoft.com/office/drawing/2014/main" id="{D7CA9A82-7B64-4DE5-86DD-D31E608C0CB9}"/>
            </a:ext>
          </a:extLst>
        </xdr:cNvPr>
        <xdr:cNvPicPr>
          <a:picLocks noChangeAspect="1"/>
        </xdr:cNvPicPr>
      </xdr:nvPicPr>
      <xdr:blipFill>
        <a:blip xmlns:r="http://schemas.openxmlformats.org/officeDocument/2006/relationships" r:embed="rId8"/>
        <a:stretch>
          <a:fillRect/>
        </a:stretch>
      </xdr:blipFill>
      <xdr:spPr>
        <a:xfrm>
          <a:off x="18218944" y="2917507"/>
          <a:ext cx="2602594" cy="1840485"/>
        </a:xfrm>
        <a:prstGeom prst="rect">
          <a:avLst/>
        </a:prstGeom>
      </xdr:spPr>
    </xdr:pic>
    <xdr:clientData/>
  </xdr:oneCellAnchor>
  <xdr:oneCellAnchor>
    <xdr:from>
      <xdr:col>20</xdr:col>
      <xdr:colOff>55722</xdr:colOff>
      <xdr:row>16</xdr:row>
      <xdr:rowOff>69532</xdr:rowOff>
    </xdr:from>
    <xdr:ext cx="2562583" cy="1771897"/>
    <xdr:pic>
      <xdr:nvPicPr>
        <xdr:cNvPr id="10" name="Imagen 9">
          <a:extLst>
            <a:ext uri="{FF2B5EF4-FFF2-40B4-BE49-F238E27FC236}">
              <a16:creationId xmlns:a16="http://schemas.microsoft.com/office/drawing/2014/main" id="{EACF2D17-27CA-4560-AA61-371DD2926D03}"/>
            </a:ext>
          </a:extLst>
        </xdr:cNvPr>
        <xdr:cNvPicPr>
          <a:picLocks noChangeAspect="1"/>
        </xdr:cNvPicPr>
      </xdr:nvPicPr>
      <xdr:blipFill>
        <a:blip xmlns:r="http://schemas.openxmlformats.org/officeDocument/2006/relationships" r:embed="rId9"/>
        <a:stretch>
          <a:fillRect/>
        </a:stretch>
      </xdr:blipFill>
      <xdr:spPr>
        <a:xfrm>
          <a:off x="15871032" y="2963227"/>
          <a:ext cx="2562583" cy="1771897"/>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1a0cbcaa1578ba6d/Documentos/Nuevo%20Hoja%20de%20c&#225;lculo%20de%20Microsoft%20Excel.xlsx" TargetMode="External"/><Relationship Id="rId1" Type="http://schemas.openxmlformats.org/officeDocument/2006/relationships/externalLinkPath" Target="/1a0cbcaa1578ba6d/Documentos/Proyecto-II/Personal/Personal/Nuevo%20Hoja%20de%20c&#225;lculo%20de%20Microsoft%20Exce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1a0cbcaa1578ba6d/Documentos/Nuevo%20Hoja%20de%20c&#225;lculo%20de%20Microsoft%20Excel.xlsx" TargetMode="External"/><Relationship Id="rId1" Type="http://schemas.openxmlformats.org/officeDocument/2006/relationships/externalLinkPath" Target="/1a0cbcaa1578ba6d/Documentos/Personal/Personal/Nuevo%20Hoja%20de%20c&#225;lculo%20de%20Microsoft%20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tividades"/>
      <sheetName val="Programación"/>
      <sheetName val="Horario"/>
    </sheetNames>
    <sheetDataSet>
      <sheetData sheetId="0"/>
      <sheetData sheetId="1">
        <row r="3">
          <cell r="C3">
            <v>0.20833333333333334</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tividades"/>
      <sheetName val="Programación"/>
      <sheetName val="Horario"/>
    </sheetNames>
    <sheetDataSet>
      <sheetData sheetId="0"/>
      <sheetData sheetId="1">
        <row r="3">
          <cell r="C3">
            <v>0.20833333333333334</v>
          </cell>
        </row>
      </sheetData>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7804C-379F-4F62-B8F1-300BC9AE8593}">
  <dimension ref="B1:L14"/>
  <sheetViews>
    <sheetView tabSelected="1" zoomScaleNormal="100" workbookViewId="0">
      <selection activeCell="L13" sqref="L13"/>
    </sheetView>
  </sheetViews>
  <sheetFormatPr baseColWidth="10" defaultRowHeight="14.4" x14ac:dyDescent="0.3"/>
  <cols>
    <col min="2" max="2" width="9" style="4" bestFit="1" customWidth="1"/>
    <col min="3" max="3" width="29.21875" style="4" bestFit="1" customWidth="1"/>
    <col min="4" max="4" width="42.33203125" style="4" bestFit="1" customWidth="1"/>
    <col min="5" max="5" width="9.44140625" style="4" bestFit="1" customWidth="1"/>
    <col min="6" max="6" width="10.109375" style="4" customWidth="1"/>
    <col min="7" max="7" width="8.5546875" style="4" bestFit="1" customWidth="1"/>
    <col min="8" max="8" width="8" style="4" bestFit="1" customWidth="1"/>
    <col min="9" max="9" width="9" style="4" bestFit="1" customWidth="1"/>
    <col min="10" max="10" width="28.21875" style="4" bestFit="1" customWidth="1"/>
    <col min="12" max="12" width="41.44140625" customWidth="1"/>
  </cols>
  <sheetData>
    <row r="1" spans="2:12" ht="15" thickBot="1" x14ac:dyDescent="0.35"/>
    <row r="2" spans="2:12" ht="29.4" thickBot="1" x14ac:dyDescent="0.35">
      <c r="B2" s="1" t="s">
        <v>0</v>
      </c>
      <c r="C2" s="1" t="s">
        <v>1</v>
      </c>
      <c r="D2" s="1" t="s">
        <v>21</v>
      </c>
      <c r="E2" s="1" t="s">
        <v>2</v>
      </c>
      <c r="F2" s="1" t="s">
        <v>3</v>
      </c>
      <c r="G2" s="1" t="s">
        <v>4</v>
      </c>
      <c r="H2" s="1" t="s">
        <v>5</v>
      </c>
      <c r="I2" s="1" t="s">
        <v>6</v>
      </c>
      <c r="J2" s="1" t="s">
        <v>7</v>
      </c>
    </row>
    <row r="3" spans="2:12" ht="130.19999999999999" thickBot="1" x14ac:dyDescent="0.35">
      <c r="B3" s="3" t="s">
        <v>11</v>
      </c>
      <c r="C3" s="75" t="s">
        <v>175</v>
      </c>
      <c r="D3" s="75" t="s">
        <v>30</v>
      </c>
      <c r="E3" s="76" t="s">
        <v>28</v>
      </c>
      <c r="F3" s="77" t="s">
        <v>178</v>
      </c>
      <c r="G3" s="77">
        <v>34</v>
      </c>
      <c r="H3" s="77">
        <v>1</v>
      </c>
      <c r="I3" s="77" t="s">
        <v>8</v>
      </c>
      <c r="J3" s="78" t="s">
        <v>31</v>
      </c>
      <c r="L3" s="2"/>
    </row>
    <row r="4" spans="2:12" ht="87" thickBot="1" x14ac:dyDescent="0.35">
      <c r="B4" s="3" t="s">
        <v>12</v>
      </c>
      <c r="C4" s="75" t="s">
        <v>176</v>
      </c>
      <c r="D4" s="75" t="s">
        <v>32</v>
      </c>
      <c r="E4" s="77" t="s">
        <v>29</v>
      </c>
      <c r="F4" s="77" t="s">
        <v>178</v>
      </c>
      <c r="G4" s="77">
        <v>27</v>
      </c>
      <c r="H4" s="77">
        <v>2</v>
      </c>
      <c r="I4" s="77" t="s">
        <v>10</v>
      </c>
      <c r="J4" s="78" t="s">
        <v>33</v>
      </c>
      <c r="L4" s="2"/>
    </row>
    <row r="5" spans="2:12" ht="87" thickBot="1" x14ac:dyDescent="0.35">
      <c r="B5" s="3" t="s">
        <v>13</v>
      </c>
      <c r="C5" s="75" t="s">
        <v>177</v>
      </c>
      <c r="D5" s="75" t="s">
        <v>58</v>
      </c>
      <c r="E5" s="77" t="s">
        <v>9</v>
      </c>
      <c r="F5" s="77" t="s">
        <v>178</v>
      </c>
      <c r="G5" s="77">
        <v>24</v>
      </c>
      <c r="H5" s="77">
        <v>2</v>
      </c>
      <c r="I5" s="77" t="s">
        <v>22</v>
      </c>
      <c r="J5" s="78" t="s">
        <v>34</v>
      </c>
    </row>
    <row r="6" spans="2:12" ht="72.599999999999994" thickBot="1" x14ac:dyDescent="0.35">
      <c r="B6" s="3" t="s">
        <v>14</v>
      </c>
      <c r="C6" s="75" t="s">
        <v>128</v>
      </c>
      <c r="D6" s="75" t="s">
        <v>169</v>
      </c>
      <c r="E6" s="77" t="s">
        <v>173</v>
      </c>
      <c r="F6" s="77" t="s">
        <v>178</v>
      </c>
      <c r="G6" s="77">
        <v>39</v>
      </c>
      <c r="H6" s="77">
        <v>3</v>
      </c>
      <c r="I6" s="77" t="s">
        <v>23</v>
      </c>
      <c r="J6" s="78"/>
    </row>
    <row r="7" spans="2:12" ht="101.4" thickBot="1" x14ac:dyDescent="0.35">
      <c r="B7" s="3" t="s">
        <v>15</v>
      </c>
      <c r="C7" s="75" t="s">
        <v>129</v>
      </c>
      <c r="D7" s="75" t="s">
        <v>170</v>
      </c>
      <c r="E7" s="77" t="s">
        <v>174</v>
      </c>
      <c r="F7" s="77" t="s">
        <v>178</v>
      </c>
      <c r="G7" s="77">
        <v>16</v>
      </c>
      <c r="H7" s="77">
        <v>4</v>
      </c>
      <c r="I7" s="77" t="s">
        <v>24</v>
      </c>
      <c r="J7" s="78" t="s">
        <v>203</v>
      </c>
    </row>
    <row r="8" spans="2:12" ht="115.8" thickBot="1" x14ac:dyDescent="0.35">
      <c r="B8" s="3" t="s">
        <v>16</v>
      </c>
      <c r="C8" s="75" t="s">
        <v>199</v>
      </c>
      <c r="D8" s="75" t="s">
        <v>198</v>
      </c>
      <c r="E8" s="77" t="s">
        <v>193</v>
      </c>
      <c r="F8" s="77" t="s">
        <v>178</v>
      </c>
      <c r="G8" s="77">
        <v>11</v>
      </c>
      <c r="H8" s="77">
        <v>4</v>
      </c>
      <c r="I8" s="77" t="s">
        <v>25</v>
      </c>
      <c r="J8" s="78"/>
    </row>
    <row r="9" spans="2:12" ht="87" thickBot="1" x14ac:dyDescent="0.35">
      <c r="B9" s="3" t="s">
        <v>17</v>
      </c>
      <c r="C9" s="75" t="s">
        <v>202</v>
      </c>
      <c r="D9" s="75" t="s">
        <v>200</v>
      </c>
      <c r="E9" s="77" t="s">
        <v>201</v>
      </c>
      <c r="F9" s="77" t="s">
        <v>178</v>
      </c>
      <c r="G9" s="77">
        <v>33</v>
      </c>
      <c r="H9" s="77">
        <v>5</v>
      </c>
      <c r="I9" s="77" t="s">
        <v>26</v>
      </c>
      <c r="J9" s="78"/>
    </row>
    <row r="10" spans="2:12" ht="72.599999999999994" thickBot="1" x14ac:dyDescent="0.35">
      <c r="B10" s="3" t="s">
        <v>18</v>
      </c>
      <c r="C10" s="75" t="s">
        <v>127</v>
      </c>
      <c r="D10" s="75" t="s">
        <v>168</v>
      </c>
      <c r="E10" s="77" t="s">
        <v>171</v>
      </c>
      <c r="F10" s="77" t="s">
        <v>178</v>
      </c>
      <c r="G10" s="77">
        <v>6</v>
      </c>
      <c r="H10" s="77">
        <v>5</v>
      </c>
      <c r="I10" s="77" t="s">
        <v>27</v>
      </c>
      <c r="J10" s="78"/>
    </row>
    <row r="11" spans="2:12" ht="130.19999999999999" thickBot="1" x14ac:dyDescent="0.35">
      <c r="B11" s="3" t="s">
        <v>19</v>
      </c>
      <c r="C11" s="75" t="s">
        <v>205</v>
      </c>
      <c r="D11" s="75" t="s">
        <v>211</v>
      </c>
      <c r="E11" s="77" t="s">
        <v>204</v>
      </c>
      <c r="F11" s="77" t="s">
        <v>178</v>
      </c>
      <c r="G11" s="77">
        <v>38</v>
      </c>
      <c r="H11" s="77">
        <v>6</v>
      </c>
      <c r="I11" s="77" t="s">
        <v>194</v>
      </c>
      <c r="J11" s="78"/>
    </row>
    <row r="12" spans="2:12" ht="101.4" thickBot="1" x14ac:dyDescent="0.35">
      <c r="B12" s="3" t="s">
        <v>20</v>
      </c>
      <c r="C12" s="75" t="s">
        <v>206</v>
      </c>
      <c r="D12" s="75" t="s">
        <v>212</v>
      </c>
      <c r="E12" s="77" t="s">
        <v>207</v>
      </c>
      <c r="F12" s="77" t="s">
        <v>178</v>
      </c>
      <c r="G12" s="77">
        <v>59</v>
      </c>
      <c r="H12" s="77">
        <v>7</v>
      </c>
      <c r="I12" s="77" t="s">
        <v>195</v>
      </c>
      <c r="J12" s="78"/>
    </row>
    <row r="13" spans="2:12" ht="87" thickBot="1" x14ac:dyDescent="0.35">
      <c r="B13" s="3" t="s">
        <v>191</v>
      </c>
      <c r="C13" s="75" t="s">
        <v>208</v>
      </c>
      <c r="D13" s="75" t="s">
        <v>213</v>
      </c>
      <c r="E13" s="77" t="s">
        <v>209</v>
      </c>
      <c r="F13" s="77" t="s">
        <v>178</v>
      </c>
      <c r="G13" s="77">
        <v>38</v>
      </c>
      <c r="H13" s="77">
        <v>8</v>
      </c>
      <c r="I13" s="77" t="s">
        <v>196</v>
      </c>
      <c r="J13" s="78"/>
    </row>
    <row r="14" spans="2:12" ht="72.599999999999994" thickBot="1" x14ac:dyDescent="0.35">
      <c r="B14" s="3" t="s">
        <v>263</v>
      </c>
      <c r="C14" s="75" t="s">
        <v>210</v>
      </c>
      <c r="D14" s="75" t="s">
        <v>214</v>
      </c>
      <c r="E14" s="77" t="s">
        <v>215</v>
      </c>
      <c r="F14" s="77" t="s">
        <v>178</v>
      </c>
      <c r="G14" s="77">
        <v>27</v>
      </c>
      <c r="H14" s="77">
        <v>9</v>
      </c>
      <c r="I14" s="77" t="s">
        <v>197</v>
      </c>
      <c r="J14" s="78"/>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24E7C-60E2-4691-B4A9-0FD2B61D0F81}">
  <dimension ref="B2:Z16"/>
  <sheetViews>
    <sheetView showGridLines="0" topLeftCell="A3" zoomScale="80" zoomScaleNormal="80" workbookViewId="0">
      <selection activeCell="H13" sqref="H13"/>
    </sheetView>
  </sheetViews>
  <sheetFormatPr baseColWidth="10" defaultRowHeight="15.6" x14ac:dyDescent="0.3"/>
  <cols>
    <col min="1" max="2" width="11.5546875" style="17"/>
    <col min="3" max="3" width="20.77734375" style="18" bestFit="1" customWidth="1"/>
    <col min="4" max="4" width="13" style="17" customWidth="1"/>
    <col min="5" max="5" width="15.21875" style="17" bestFit="1" customWidth="1"/>
    <col min="6" max="6" width="15" style="17" bestFit="1" customWidth="1"/>
    <col min="7" max="7" width="12.33203125" style="17" bestFit="1" customWidth="1"/>
    <col min="8" max="8" width="47.88671875" style="17" customWidth="1"/>
    <col min="9" max="11" width="14.109375" style="17" customWidth="1"/>
    <col min="12" max="14" width="12.6640625" style="17" customWidth="1"/>
    <col min="15" max="17" width="13.6640625" style="17" customWidth="1"/>
    <col min="18" max="19" width="15" style="17" customWidth="1"/>
    <col min="20" max="20" width="11.109375" style="17" customWidth="1"/>
    <col min="21" max="26" width="12.77734375" style="17" customWidth="1"/>
    <col min="27" max="16384" width="11.5546875" style="17"/>
  </cols>
  <sheetData>
    <row r="2" spans="2:26" ht="20.399999999999999" customHeight="1" x14ac:dyDescent="0.3">
      <c r="C2" s="91"/>
      <c r="D2" s="91"/>
      <c r="E2" s="91"/>
      <c r="F2" s="91"/>
      <c r="G2" s="91"/>
    </row>
    <row r="3" spans="2:26" ht="20.399999999999999" customHeight="1" x14ac:dyDescent="0.3">
      <c r="C3" s="21"/>
      <c r="D3" s="20"/>
      <c r="E3" s="20"/>
      <c r="F3" s="20"/>
      <c r="G3" s="20"/>
      <c r="L3"/>
      <c r="M3"/>
      <c r="N3"/>
      <c r="O3"/>
      <c r="P3"/>
      <c r="Q3"/>
      <c r="R3"/>
      <c r="S3"/>
      <c r="T3"/>
    </row>
    <row r="4" spans="2:26" ht="45.6" customHeight="1" x14ac:dyDescent="0.3">
      <c r="B4" s="83" t="s">
        <v>115</v>
      </c>
      <c r="C4" s="66" t="s">
        <v>114</v>
      </c>
      <c r="D4" s="67" t="s">
        <v>113</v>
      </c>
      <c r="E4" s="66" t="s">
        <v>112</v>
      </c>
      <c r="F4" s="66" t="s">
        <v>111</v>
      </c>
      <c r="G4" s="66" t="s">
        <v>110</v>
      </c>
      <c r="H4" s="66" t="s">
        <v>109</v>
      </c>
      <c r="L4"/>
      <c r="M4"/>
      <c r="N4"/>
      <c r="O4"/>
      <c r="P4"/>
      <c r="Q4"/>
      <c r="R4"/>
      <c r="S4"/>
      <c r="T4"/>
    </row>
    <row r="5" spans="2:26" ht="46.8" x14ac:dyDescent="0.3">
      <c r="B5" s="74" t="s">
        <v>108</v>
      </c>
      <c r="C5" s="82" t="s">
        <v>336</v>
      </c>
      <c r="D5" s="80">
        <v>34</v>
      </c>
      <c r="E5" s="80">
        <v>6</v>
      </c>
      <c r="F5" s="79">
        <v>45932</v>
      </c>
      <c r="G5" s="79">
        <f t="shared" ref="G5:G13" si="0">F5+E5</f>
        <v>45938</v>
      </c>
      <c r="H5" s="19" t="s">
        <v>335</v>
      </c>
    </row>
    <row r="6" spans="2:26" ht="31.2" x14ac:dyDescent="0.3">
      <c r="B6" s="74" t="s">
        <v>107</v>
      </c>
      <c r="C6" s="82" t="s">
        <v>337</v>
      </c>
      <c r="D6" s="80">
        <v>51</v>
      </c>
      <c r="E6" s="80">
        <v>13</v>
      </c>
      <c r="F6" s="79">
        <f t="shared" ref="F6:F13" si="1">G5+1</f>
        <v>45939</v>
      </c>
      <c r="G6" s="79">
        <f t="shared" si="0"/>
        <v>45952</v>
      </c>
      <c r="H6" s="19" t="s">
        <v>338</v>
      </c>
    </row>
    <row r="7" spans="2:26" ht="31.2" x14ac:dyDescent="0.3">
      <c r="B7" s="74" t="s">
        <v>106</v>
      </c>
      <c r="C7" s="82" t="s">
        <v>340</v>
      </c>
      <c r="D7" s="80">
        <v>39</v>
      </c>
      <c r="E7" s="80">
        <v>6</v>
      </c>
      <c r="F7" s="79">
        <f t="shared" si="1"/>
        <v>45953</v>
      </c>
      <c r="G7" s="79">
        <f t="shared" si="0"/>
        <v>45959</v>
      </c>
      <c r="H7" s="19" t="s">
        <v>351</v>
      </c>
    </row>
    <row r="8" spans="2:26" ht="46.8" x14ac:dyDescent="0.3">
      <c r="B8" s="74" t="s">
        <v>105</v>
      </c>
      <c r="C8" s="82" t="s">
        <v>339</v>
      </c>
      <c r="D8" s="80">
        <v>27</v>
      </c>
      <c r="E8" s="80">
        <v>7</v>
      </c>
      <c r="F8" s="79">
        <f t="shared" si="1"/>
        <v>45960</v>
      </c>
      <c r="G8" s="79">
        <f t="shared" si="0"/>
        <v>45967</v>
      </c>
      <c r="H8" s="19" t="s">
        <v>352</v>
      </c>
    </row>
    <row r="9" spans="2:26" ht="31.2" x14ac:dyDescent="0.3">
      <c r="B9" s="74" t="s">
        <v>104</v>
      </c>
      <c r="C9" s="82" t="s">
        <v>341</v>
      </c>
      <c r="D9" s="80">
        <v>39</v>
      </c>
      <c r="E9" s="80">
        <v>7</v>
      </c>
      <c r="F9" s="79">
        <f t="shared" si="1"/>
        <v>45968</v>
      </c>
      <c r="G9" s="79">
        <f t="shared" si="0"/>
        <v>45975</v>
      </c>
      <c r="H9" s="19" t="s">
        <v>359</v>
      </c>
    </row>
    <row r="10" spans="2:26" ht="46.8" x14ac:dyDescent="0.3">
      <c r="B10" s="74" t="s">
        <v>103</v>
      </c>
      <c r="C10" s="84" t="s">
        <v>353</v>
      </c>
      <c r="D10" s="80">
        <v>38</v>
      </c>
      <c r="E10" s="80">
        <v>7</v>
      </c>
      <c r="F10" s="79">
        <f t="shared" si="1"/>
        <v>45976</v>
      </c>
      <c r="G10" s="79">
        <f t="shared" si="0"/>
        <v>45983</v>
      </c>
      <c r="H10" s="19" t="s">
        <v>354</v>
      </c>
    </row>
    <row r="11" spans="2:26" ht="31.2" x14ac:dyDescent="0.3">
      <c r="B11" s="74" t="s">
        <v>102</v>
      </c>
      <c r="C11" s="82" t="s">
        <v>346</v>
      </c>
      <c r="D11" s="80">
        <v>59</v>
      </c>
      <c r="E11" s="80">
        <v>10</v>
      </c>
      <c r="F11" s="79">
        <f t="shared" si="1"/>
        <v>45984</v>
      </c>
      <c r="G11" s="79">
        <f t="shared" si="0"/>
        <v>45994</v>
      </c>
      <c r="H11" s="19" t="s">
        <v>355</v>
      </c>
    </row>
    <row r="12" spans="2:26" ht="31.2" x14ac:dyDescent="0.3">
      <c r="B12" s="74" t="s">
        <v>101</v>
      </c>
      <c r="C12" s="81" t="s">
        <v>347</v>
      </c>
      <c r="D12" s="80">
        <v>38</v>
      </c>
      <c r="E12" s="80">
        <v>7</v>
      </c>
      <c r="F12" s="79">
        <f t="shared" si="1"/>
        <v>45995</v>
      </c>
      <c r="G12" s="79">
        <f t="shared" si="0"/>
        <v>46002</v>
      </c>
      <c r="H12" s="19" t="s">
        <v>356</v>
      </c>
    </row>
    <row r="13" spans="2:26" x14ac:dyDescent="0.3">
      <c r="B13" s="74" t="s">
        <v>100</v>
      </c>
      <c r="C13" s="81" t="s">
        <v>348</v>
      </c>
      <c r="D13" s="80">
        <v>27</v>
      </c>
      <c r="E13" s="80">
        <v>4</v>
      </c>
      <c r="F13" s="79">
        <f t="shared" si="1"/>
        <v>46003</v>
      </c>
      <c r="G13" s="79">
        <f t="shared" si="0"/>
        <v>46007</v>
      </c>
      <c r="H13" s="19" t="s">
        <v>357</v>
      </c>
    </row>
    <row r="15" spans="2:26" x14ac:dyDescent="0.3">
      <c r="B15" s="90" t="s">
        <v>140</v>
      </c>
      <c r="C15" s="90"/>
      <c r="D15" s="90"/>
      <c r="E15" s="90" t="s">
        <v>117</v>
      </c>
      <c r="F15" s="90"/>
      <c r="G15" s="90"/>
      <c r="H15" s="90" t="s">
        <v>141</v>
      </c>
      <c r="I15" s="90" t="s">
        <v>142</v>
      </c>
      <c r="J15" s="90"/>
      <c r="K15" s="90"/>
      <c r="L15" s="90" t="s">
        <v>143</v>
      </c>
      <c r="M15" s="90"/>
      <c r="N15" s="90"/>
      <c r="O15" s="90" t="s">
        <v>342</v>
      </c>
      <c r="P15" s="90"/>
      <c r="Q15" s="90"/>
      <c r="R15" s="90" t="s">
        <v>343</v>
      </c>
      <c r="S15" s="90"/>
      <c r="T15" s="90"/>
      <c r="U15" s="90" t="s">
        <v>344</v>
      </c>
      <c r="V15" s="90"/>
      <c r="W15" s="90"/>
      <c r="X15" s="90" t="s">
        <v>345</v>
      </c>
      <c r="Y15" s="90"/>
      <c r="Z15" s="90"/>
    </row>
    <row r="16" spans="2:26" x14ac:dyDescent="0.3">
      <c r="B16" s="90"/>
      <c r="C16" s="90"/>
      <c r="D16" s="90"/>
      <c r="E16" s="90"/>
      <c r="F16" s="90"/>
      <c r="G16" s="90"/>
      <c r="H16" s="90"/>
      <c r="I16" s="90"/>
      <c r="J16" s="90"/>
      <c r="K16" s="90"/>
      <c r="L16" s="90"/>
      <c r="M16" s="90"/>
      <c r="N16" s="90"/>
      <c r="O16" s="90"/>
      <c r="P16" s="90"/>
      <c r="Q16" s="90"/>
      <c r="R16" s="90"/>
      <c r="S16" s="90"/>
      <c r="T16" s="90"/>
      <c r="U16" s="90"/>
      <c r="V16" s="90"/>
      <c r="W16" s="90"/>
      <c r="X16" s="90"/>
      <c r="Y16" s="90"/>
      <c r="Z16" s="90"/>
    </row>
  </sheetData>
  <mergeCells count="10">
    <mergeCell ref="C2:G2"/>
    <mergeCell ref="L15:N16"/>
    <mergeCell ref="O15:Q16"/>
    <mergeCell ref="R15:T16"/>
    <mergeCell ref="U15:W16"/>
    <mergeCell ref="X15:Z16"/>
    <mergeCell ref="I15:K16"/>
    <mergeCell ref="H15:H16"/>
    <mergeCell ref="B15:D16"/>
    <mergeCell ref="E15:G1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355CB-647D-476C-B3A9-5F6D07FAB348}">
  <dimension ref="B1:U50"/>
  <sheetViews>
    <sheetView showGridLines="0" zoomScaleNormal="100" workbookViewId="0">
      <selection activeCell="G18" sqref="G18"/>
    </sheetView>
  </sheetViews>
  <sheetFormatPr baseColWidth="10" defaultRowHeight="14.4" x14ac:dyDescent="0.3"/>
  <cols>
    <col min="2" max="2" width="21.33203125" style="4" bestFit="1" customWidth="1"/>
    <col min="3" max="3" width="33.88671875" style="4" bestFit="1" customWidth="1"/>
    <col min="4" max="4" width="35" style="4" bestFit="1" customWidth="1"/>
    <col min="5" max="5" width="29.44140625" style="4" bestFit="1" customWidth="1"/>
    <col min="6" max="6" width="12.21875" style="4" bestFit="1" customWidth="1"/>
    <col min="7" max="7" width="15.21875" style="4" bestFit="1" customWidth="1"/>
    <col min="8" max="8" width="12.44140625" style="4" bestFit="1" customWidth="1"/>
    <col min="9" max="9" width="11.33203125" style="4" bestFit="1" customWidth="1"/>
    <col min="10" max="18" width="6.77734375" style="4" bestFit="1" customWidth="1"/>
    <col min="19" max="19" width="8.21875" style="4" bestFit="1" customWidth="1"/>
    <col min="20" max="20" width="14.6640625" style="4" bestFit="1" customWidth="1"/>
    <col min="21" max="22" width="23.33203125" customWidth="1"/>
  </cols>
  <sheetData>
    <row r="1" spans="2:21" ht="46.8" customHeight="1" x14ac:dyDescent="0.3"/>
    <row r="2" spans="2:21" ht="21" x14ac:dyDescent="0.3">
      <c r="B2" s="103" t="s">
        <v>56</v>
      </c>
      <c r="C2" s="103"/>
      <c r="D2" s="103"/>
      <c r="E2" s="103"/>
      <c r="F2" s="103"/>
      <c r="G2" s="103"/>
      <c r="H2" s="103"/>
      <c r="I2" s="103"/>
      <c r="J2" s="103"/>
      <c r="K2" s="103"/>
      <c r="L2" s="103"/>
      <c r="M2" s="103"/>
      <c r="N2" s="103"/>
      <c r="O2" s="103"/>
      <c r="P2" s="103"/>
      <c r="Q2" s="103"/>
      <c r="R2" s="103"/>
      <c r="S2" s="103"/>
      <c r="T2" s="103"/>
    </row>
    <row r="3" spans="2:21" ht="21" x14ac:dyDescent="0.3">
      <c r="B3" s="5" t="s">
        <v>35</v>
      </c>
      <c r="C3" s="104" t="s">
        <v>335</v>
      </c>
      <c r="D3" s="105"/>
      <c r="E3" s="105"/>
      <c r="F3" s="105"/>
      <c r="G3" s="105"/>
      <c r="H3" s="105"/>
      <c r="I3" s="105"/>
      <c r="J3" s="105"/>
    </row>
    <row r="4" spans="2:21" ht="15" thickBot="1" x14ac:dyDescent="0.35"/>
    <row r="5" spans="2:21" ht="36.6" thickBot="1" x14ac:dyDescent="0.35">
      <c r="B5" s="40" t="s">
        <v>36</v>
      </c>
      <c r="C5" s="97" t="s">
        <v>21</v>
      </c>
      <c r="D5" s="98"/>
      <c r="E5" s="99"/>
      <c r="F5" s="42" t="s">
        <v>37</v>
      </c>
      <c r="G5" s="41" t="s">
        <v>38</v>
      </c>
      <c r="H5" s="42" t="s">
        <v>3</v>
      </c>
      <c r="I5" s="42" t="s">
        <v>39</v>
      </c>
      <c r="J5" s="42" t="s">
        <v>40</v>
      </c>
      <c r="K5" s="42" t="s">
        <v>41</v>
      </c>
      <c r="L5" s="42" t="s">
        <v>42</v>
      </c>
      <c r="M5" s="42" t="s">
        <v>43</v>
      </c>
      <c r="N5" s="42" t="s">
        <v>44</v>
      </c>
      <c r="O5" s="42" t="s">
        <v>45</v>
      </c>
      <c r="P5" s="42" t="s">
        <v>46</v>
      </c>
      <c r="Q5" s="42" t="s">
        <v>47</v>
      </c>
      <c r="R5" s="42" t="s">
        <v>48</v>
      </c>
      <c r="S5" s="42" t="s">
        <v>49</v>
      </c>
      <c r="T5" s="42" t="s">
        <v>50</v>
      </c>
    </row>
    <row r="6" spans="2:21" ht="21.6" thickBot="1" x14ac:dyDescent="0.35">
      <c r="B6" s="39" t="s">
        <v>11</v>
      </c>
      <c r="C6" s="14"/>
      <c r="D6" s="14"/>
      <c r="E6" s="14"/>
      <c r="F6" s="14">
        <f>SUM(F7:F41)</f>
        <v>34</v>
      </c>
      <c r="G6" s="14"/>
      <c r="H6" s="14"/>
      <c r="I6" s="14"/>
      <c r="J6" s="14"/>
      <c r="K6" s="14"/>
      <c r="L6" s="14"/>
      <c r="M6" s="14"/>
      <c r="N6" s="14"/>
      <c r="O6" s="14"/>
      <c r="P6" s="14"/>
      <c r="Q6" s="14"/>
      <c r="R6" s="14"/>
      <c r="S6" s="14"/>
      <c r="T6" s="15"/>
      <c r="U6" s="6"/>
    </row>
    <row r="7" spans="2:21" ht="15.6" x14ac:dyDescent="0.3">
      <c r="B7" s="106" t="s">
        <v>76</v>
      </c>
      <c r="C7" s="10" t="s">
        <v>51</v>
      </c>
      <c r="D7" s="10"/>
      <c r="E7" s="10"/>
      <c r="F7" s="10">
        <v>1</v>
      </c>
      <c r="G7" s="26" t="s">
        <v>116</v>
      </c>
      <c r="H7" s="22" t="s">
        <v>84</v>
      </c>
      <c r="I7" s="10">
        <v>5</v>
      </c>
      <c r="J7" s="26"/>
      <c r="K7" s="10"/>
      <c r="L7" s="10"/>
      <c r="M7" s="10"/>
      <c r="N7" s="10"/>
      <c r="O7" s="10"/>
      <c r="P7" s="10"/>
      <c r="Q7" s="10"/>
      <c r="R7" s="10"/>
      <c r="S7" s="10"/>
      <c r="T7" s="23"/>
    </row>
    <row r="8" spans="2:21" ht="15.6" x14ac:dyDescent="0.3">
      <c r="B8" s="106"/>
      <c r="C8" s="7" t="s">
        <v>52</v>
      </c>
      <c r="D8" s="10"/>
      <c r="E8" s="10"/>
      <c r="F8" s="10">
        <v>1</v>
      </c>
      <c r="G8" s="26" t="s">
        <v>116</v>
      </c>
      <c r="H8" s="22" t="s">
        <v>84</v>
      </c>
      <c r="I8" s="10">
        <v>3</v>
      </c>
      <c r="J8" s="26"/>
      <c r="K8" s="10"/>
      <c r="L8" s="10"/>
      <c r="M8" s="10"/>
      <c r="N8" s="10"/>
      <c r="O8" s="10"/>
      <c r="P8" s="10"/>
      <c r="Q8" s="10"/>
      <c r="R8" s="10"/>
      <c r="S8" s="10"/>
      <c r="T8" s="23"/>
    </row>
    <row r="9" spans="2:21" ht="15.6" x14ac:dyDescent="0.3">
      <c r="B9" s="107"/>
      <c r="C9" s="93" t="s">
        <v>96</v>
      </c>
      <c r="D9" s="7" t="s">
        <v>97</v>
      </c>
      <c r="E9" s="7"/>
      <c r="F9" s="10">
        <v>1</v>
      </c>
      <c r="G9" s="26" t="s">
        <v>116</v>
      </c>
      <c r="H9" s="22" t="s">
        <v>84</v>
      </c>
      <c r="I9" s="10">
        <v>2</v>
      </c>
      <c r="J9" s="26"/>
      <c r="K9" s="26"/>
      <c r="L9" s="7"/>
      <c r="M9" s="7"/>
      <c r="N9" s="7"/>
      <c r="O9" s="7"/>
      <c r="P9" s="7"/>
      <c r="Q9" s="7"/>
      <c r="R9" s="7"/>
      <c r="S9" s="7"/>
      <c r="T9" s="25"/>
    </row>
    <row r="10" spans="2:21" ht="15.6" x14ac:dyDescent="0.3">
      <c r="B10" s="107"/>
      <c r="C10" s="101"/>
      <c r="D10" s="7" t="s">
        <v>98</v>
      </c>
      <c r="E10" s="7"/>
      <c r="F10" s="10">
        <v>1</v>
      </c>
      <c r="G10" s="26" t="s">
        <v>116</v>
      </c>
      <c r="H10" s="22" t="s">
        <v>84</v>
      </c>
      <c r="I10" s="10">
        <v>2</v>
      </c>
      <c r="J10" s="26"/>
      <c r="K10" s="26"/>
      <c r="L10" s="7"/>
      <c r="M10" s="7"/>
      <c r="N10" s="7"/>
      <c r="O10" s="7"/>
      <c r="P10" s="7"/>
      <c r="Q10" s="7"/>
      <c r="R10" s="7"/>
      <c r="S10" s="7"/>
      <c r="T10" s="25"/>
    </row>
    <row r="11" spans="2:21" ht="15.6" x14ac:dyDescent="0.3">
      <c r="B11" s="107"/>
      <c r="C11" s="101"/>
      <c r="D11" s="7" t="s">
        <v>99</v>
      </c>
      <c r="E11" s="7"/>
      <c r="F11" s="10">
        <v>1</v>
      </c>
      <c r="G11" s="26" t="s">
        <v>116</v>
      </c>
      <c r="H11" s="22" t="s">
        <v>84</v>
      </c>
      <c r="I11" s="10">
        <v>2</v>
      </c>
      <c r="J11" s="26"/>
      <c r="K11" s="26"/>
      <c r="L11" s="7"/>
      <c r="M11" s="7"/>
      <c r="N11" s="7"/>
      <c r="O11" s="7"/>
      <c r="P11" s="7"/>
      <c r="Q11" s="7"/>
      <c r="R11" s="7"/>
      <c r="S11" s="7"/>
      <c r="T11" s="25"/>
    </row>
    <row r="12" spans="2:21" ht="15.6" x14ac:dyDescent="0.3">
      <c r="B12" s="107"/>
      <c r="C12" s="102"/>
      <c r="D12" s="7" t="s">
        <v>118</v>
      </c>
      <c r="E12" s="7"/>
      <c r="F12" s="10">
        <v>1</v>
      </c>
      <c r="G12" s="26" t="s">
        <v>116</v>
      </c>
      <c r="H12" s="22" t="s">
        <v>84</v>
      </c>
      <c r="I12" s="10">
        <v>2</v>
      </c>
      <c r="J12" s="26"/>
      <c r="K12" s="26"/>
      <c r="L12" s="7"/>
      <c r="M12" s="7"/>
      <c r="N12" s="7"/>
      <c r="O12" s="7"/>
      <c r="P12" s="7"/>
      <c r="Q12" s="7"/>
      <c r="R12" s="7"/>
      <c r="S12" s="7"/>
      <c r="T12" s="25"/>
    </row>
    <row r="13" spans="2:21" ht="15.6" thickBot="1" x14ac:dyDescent="0.35">
      <c r="B13" s="27"/>
      <c r="C13" s="28"/>
      <c r="D13" s="28"/>
      <c r="E13" s="28"/>
      <c r="F13" s="28"/>
      <c r="G13" s="28"/>
      <c r="H13" s="28"/>
      <c r="I13" s="28"/>
      <c r="J13" s="28"/>
      <c r="K13" s="28"/>
      <c r="L13" s="28"/>
      <c r="M13" s="28"/>
      <c r="N13" s="28"/>
      <c r="O13" s="28"/>
      <c r="P13" s="28"/>
      <c r="Q13" s="28"/>
      <c r="R13" s="28"/>
      <c r="S13" s="28"/>
      <c r="T13" s="29"/>
    </row>
    <row r="14" spans="2:21" ht="15.6" x14ac:dyDescent="0.3">
      <c r="B14" s="94" t="s">
        <v>53</v>
      </c>
      <c r="C14" s="100" t="s">
        <v>59</v>
      </c>
      <c r="D14" s="8" t="s">
        <v>60</v>
      </c>
      <c r="E14" s="8"/>
      <c r="F14" s="10">
        <v>1</v>
      </c>
      <c r="G14" s="26" t="s">
        <v>116</v>
      </c>
      <c r="H14" s="30" t="s">
        <v>84</v>
      </c>
      <c r="I14" s="10">
        <v>1</v>
      </c>
      <c r="J14" s="26"/>
      <c r="K14" s="26"/>
      <c r="L14" s="26"/>
      <c r="M14" s="26"/>
      <c r="N14" s="26"/>
      <c r="O14" s="26"/>
      <c r="P14" s="26"/>
      <c r="Q14" s="26"/>
      <c r="R14" s="26"/>
      <c r="S14" s="26"/>
      <c r="T14" s="26"/>
    </row>
    <row r="15" spans="2:21" ht="45" x14ac:dyDescent="0.3">
      <c r="B15" s="95"/>
      <c r="C15" s="101"/>
      <c r="D15" s="7" t="s">
        <v>61</v>
      </c>
      <c r="E15" s="7" t="s">
        <v>86</v>
      </c>
      <c r="F15" s="10">
        <v>1</v>
      </c>
      <c r="G15" s="26" t="s">
        <v>116</v>
      </c>
      <c r="H15" s="24" t="s">
        <v>84</v>
      </c>
      <c r="I15" s="10">
        <v>1</v>
      </c>
      <c r="J15" s="26"/>
      <c r="K15" s="26"/>
      <c r="L15" s="26"/>
      <c r="M15" s="26"/>
      <c r="N15" s="26"/>
      <c r="O15" s="26"/>
      <c r="P15" s="26"/>
      <c r="Q15" s="26"/>
      <c r="R15" s="26"/>
      <c r="S15" s="26"/>
      <c r="T15" s="26"/>
    </row>
    <row r="16" spans="2:21" ht="15.6" x14ac:dyDescent="0.3">
      <c r="B16" s="95"/>
      <c r="C16" s="101"/>
      <c r="D16" s="7" t="s">
        <v>77</v>
      </c>
      <c r="E16" s="31"/>
      <c r="F16" s="10">
        <v>1</v>
      </c>
      <c r="G16" s="26" t="s">
        <v>116</v>
      </c>
      <c r="H16" s="24" t="s">
        <v>84</v>
      </c>
      <c r="I16" s="10">
        <v>1</v>
      </c>
      <c r="J16" s="26"/>
      <c r="K16" s="26"/>
      <c r="L16" s="26"/>
      <c r="M16" s="26"/>
      <c r="N16" s="26"/>
      <c r="O16" s="26"/>
      <c r="P16" s="26"/>
      <c r="Q16" s="26"/>
      <c r="R16" s="26"/>
      <c r="S16" s="26"/>
      <c r="T16" s="26"/>
    </row>
    <row r="17" spans="2:20" ht="15.6" x14ac:dyDescent="0.3">
      <c r="B17" s="95"/>
      <c r="C17" s="101"/>
      <c r="D17" s="92" t="s">
        <v>94</v>
      </c>
      <c r="E17" s="7" t="s">
        <v>85</v>
      </c>
      <c r="F17" s="10">
        <v>1</v>
      </c>
      <c r="G17" s="26" t="s">
        <v>116</v>
      </c>
      <c r="H17" s="24" t="s">
        <v>84</v>
      </c>
      <c r="I17" s="10">
        <v>1</v>
      </c>
      <c r="J17" s="26"/>
      <c r="K17" s="26"/>
      <c r="L17" s="26"/>
      <c r="M17" s="26"/>
      <c r="N17" s="26"/>
      <c r="O17" s="26"/>
      <c r="P17" s="26"/>
      <c r="Q17" s="26"/>
      <c r="R17" s="26"/>
      <c r="S17" s="26"/>
      <c r="T17" s="26"/>
    </row>
    <row r="18" spans="2:20" ht="15.6" x14ac:dyDescent="0.3">
      <c r="B18" s="95"/>
      <c r="C18" s="101"/>
      <c r="D18" s="92"/>
      <c r="E18" s="7" t="s">
        <v>78</v>
      </c>
      <c r="F18" s="10">
        <v>1</v>
      </c>
      <c r="G18" s="26" t="s">
        <v>116</v>
      </c>
      <c r="H18" s="24" t="s">
        <v>84</v>
      </c>
      <c r="I18" s="10">
        <v>1</v>
      </c>
      <c r="J18" s="26"/>
      <c r="K18" s="26"/>
      <c r="L18" s="26"/>
      <c r="M18" s="26"/>
      <c r="N18" s="26"/>
      <c r="O18" s="26"/>
      <c r="P18" s="26"/>
      <c r="Q18" s="26"/>
      <c r="R18" s="26"/>
      <c r="S18" s="26"/>
      <c r="T18" s="26"/>
    </row>
    <row r="19" spans="2:20" ht="15.6" x14ac:dyDescent="0.3">
      <c r="B19" s="95"/>
      <c r="C19" s="102"/>
      <c r="D19" s="92"/>
      <c r="E19" s="7" t="s">
        <v>87</v>
      </c>
      <c r="F19" s="10">
        <v>1</v>
      </c>
      <c r="G19" s="26" t="s">
        <v>116</v>
      </c>
      <c r="H19" s="24" t="s">
        <v>84</v>
      </c>
      <c r="I19" s="10">
        <v>1</v>
      </c>
      <c r="J19" s="26"/>
      <c r="K19" s="26"/>
      <c r="L19" s="26"/>
      <c r="M19" s="26"/>
      <c r="N19" s="26"/>
      <c r="O19" s="26"/>
      <c r="P19" s="26"/>
      <c r="Q19" s="26"/>
      <c r="R19" s="26"/>
      <c r="S19" s="26"/>
      <c r="T19" s="26"/>
    </row>
    <row r="20" spans="2:20" ht="15.6" x14ac:dyDescent="0.3">
      <c r="B20" s="95"/>
      <c r="C20" s="92" t="s">
        <v>95</v>
      </c>
      <c r="D20" s="7" t="s">
        <v>88</v>
      </c>
      <c r="E20" s="7"/>
      <c r="F20" s="10">
        <v>1</v>
      </c>
      <c r="G20" s="26" t="s">
        <v>116</v>
      </c>
      <c r="H20" s="24" t="s">
        <v>84</v>
      </c>
      <c r="I20" s="10">
        <v>1</v>
      </c>
      <c r="J20" s="26"/>
      <c r="K20" s="26"/>
      <c r="L20" s="26"/>
      <c r="M20" s="26"/>
      <c r="N20" s="26"/>
      <c r="O20" s="26"/>
      <c r="P20" s="26"/>
      <c r="Q20" s="26"/>
      <c r="R20" s="26"/>
      <c r="S20" s="26"/>
      <c r="T20" s="26"/>
    </row>
    <row r="21" spans="2:20" ht="15.6" x14ac:dyDescent="0.3">
      <c r="B21" s="95"/>
      <c r="C21" s="92"/>
      <c r="D21" s="7" t="s">
        <v>79</v>
      </c>
      <c r="E21" s="7"/>
      <c r="F21" s="10">
        <v>1</v>
      </c>
      <c r="G21" s="26" t="s">
        <v>116</v>
      </c>
      <c r="H21" s="24" t="s">
        <v>84</v>
      </c>
      <c r="I21" s="10">
        <v>1</v>
      </c>
      <c r="J21" s="26"/>
      <c r="K21" s="26"/>
      <c r="L21" s="26"/>
      <c r="M21" s="26"/>
      <c r="N21" s="26"/>
      <c r="O21" s="26"/>
      <c r="P21" s="26"/>
      <c r="Q21" s="26"/>
      <c r="R21" s="26"/>
      <c r="S21" s="26"/>
      <c r="T21" s="26"/>
    </row>
    <row r="22" spans="2:20" ht="15.6" x14ac:dyDescent="0.3">
      <c r="B22" s="95"/>
      <c r="C22" s="92" t="s">
        <v>62</v>
      </c>
      <c r="D22" s="7" t="s">
        <v>81</v>
      </c>
      <c r="E22" s="7"/>
      <c r="F22" s="10">
        <v>1</v>
      </c>
      <c r="G22" s="26" t="s">
        <v>116</v>
      </c>
      <c r="H22" s="24" t="s">
        <v>84</v>
      </c>
      <c r="I22" s="10">
        <v>1</v>
      </c>
      <c r="J22" s="26"/>
      <c r="K22" s="26"/>
      <c r="L22" s="26"/>
      <c r="M22" s="26"/>
      <c r="N22" s="26"/>
      <c r="O22" s="26"/>
      <c r="P22" s="26"/>
      <c r="Q22" s="26"/>
      <c r="R22" s="26"/>
      <c r="S22" s="26"/>
      <c r="T22" s="26"/>
    </row>
    <row r="23" spans="2:20" ht="15.6" x14ac:dyDescent="0.3">
      <c r="B23" s="95"/>
      <c r="C23" s="92"/>
      <c r="D23" s="7" t="s">
        <v>63</v>
      </c>
      <c r="E23" s="7"/>
      <c r="F23" s="10">
        <v>1</v>
      </c>
      <c r="G23" s="26" t="s">
        <v>116</v>
      </c>
      <c r="H23" s="24" t="s">
        <v>84</v>
      </c>
      <c r="I23" s="10">
        <v>1</v>
      </c>
      <c r="J23" s="26"/>
      <c r="K23" s="26"/>
      <c r="L23" s="26"/>
      <c r="M23" s="26"/>
      <c r="N23" s="26"/>
      <c r="O23" s="26"/>
      <c r="P23" s="26"/>
      <c r="Q23" s="26"/>
      <c r="R23" s="26"/>
      <c r="S23" s="26"/>
      <c r="T23" s="26"/>
    </row>
    <row r="24" spans="2:20" ht="45" x14ac:dyDescent="0.3">
      <c r="B24" s="95"/>
      <c r="C24" s="92"/>
      <c r="D24" s="7" t="s">
        <v>89</v>
      </c>
      <c r="E24" s="7" t="s">
        <v>90</v>
      </c>
      <c r="F24" s="10">
        <v>1</v>
      </c>
      <c r="G24" s="26" t="s">
        <v>116</v>
      </c>
      <c r="H24" s="24" t="s">
        <v>84</v>
      </c>
      <c r="I24" s="10">
        <v>1</v>
      </c>
      <c r="J24" s="26"/>
      <c r="K24" s="26"/>
      <c r="L24" s="26"/>
      <c r="M24" s="26"/>
      <c r="N24" s="26"/>
      <c r="O24" s="26"/>
      <c r="P24" s="26"/>
      <c r="Q24" s="26"/>
      <c r="R24" s="26"/>
      <c r="S24" s="26"/>
      <c r="T24" s="26"/>
    </row>
    <row r="25" spans="2:20" ht="15.6" x14ac:dyDescent="0.3">
      <c r="B25" s="95"/>
      <c r="C25" s="92" t="s">
        <v>66</v>
      </c>
      <c r="D25" s="7" t="s">
        <v>80</v>
      </c>
      <c r="E25" s="7"/>
      <c r="F25" s="10">
        <v>1</v>
      </c>
      <c r="G25" s="26" t="s">
        <v>116</v>
      </c>
      <c r="H25" s="24" t="s">
        <v>84</v>
      </c>
      <c r="I25" s="10">
        <v>1</v>
      </c>
      <c r="J25" s="26"/>
      <c r="K25" s="26"/>
      <c r="L25" s="26"/>
      <c r="M25" s="26"/>
      <c r="N25" s="26"/>
      <c r="O25" s="26"/>
      <c r="P25" s="26"/>
      <c r="Q25" s="26"/>
      <c r="R25" s="26"/>
      <c r="S25" s="26"/>
      <c r="T25" s="26"/>
    </row>
    <row r="26" spans="2:20" ht="15.6" x14ac:dyDescent="0.3">
      <c r="B26" s="95"/>
      <c r="C26" s="92"/>
      <c r="D26" s="7" t="s">
        <v>64</v>
      </c>
      <c r="E26" s="7"/>
      <c r="F26" s="10">
        <v>1</v>
      </c>
      <c r="G26" s="26" t="s">
        <v>116</v>
      </c>
      <c r="H26" s="24" t="s">
        <v>84</v>
      </c>
      <c r="I26" s="10">
        <v>1</v>
      </c>
      <c r="J26" s="26"/>
      <c r="K26" s="26"/>
      <c r="L26" s="26"/>
      <c r="M26" s="26"/>
      <c r="N26" s="26"/>
      <c r="O26" s="26"/>
      <c r="P26" s="26"/>
      <c r="Q26" s="26"/>
      <c r="R26" s="26"/>
      <c r="S26" s="26"/>
      <c r="T26" s="26"/>
    </row>
    <row r="27" spans="2:20" ht="45" x14ac:dyDescent="0.3">
      <c r="B27" s="95"/>
      <c r="C27" s="92"/>
      <c r="D27" s="7" t="s">
        <v>65</v>
      </c>
      <c r="E27" s="7" t="s">
        <v>90</v>
      </c>
      <c r="F27" s="10">
        <v>1</v>
      </c>
      <c r="G27" s="26" t="s">
        <v>116</v>
      </c>
      <c r="H27" s="24" t="s">
        <v>84</v>
      </c>
      <c r="I27" s="10">
        <v>1</v>
      </c>
      <c r="J27" s="26"/>
      <c r="K27" s="26"/>
      <c r="L27" s="26"/>
      <c r="M27" s="26"/>
      <c r="N27" s="26"/>
      <c r="O27" s="26"/>
      <c r="P27" s="26"/>
      <c r="Q27" s="26"/>
      <c r="R27" s="26"/>
      <c r="S27" s="26"/>
      <c r="T27" s="26"/>
    </row>
    <row r="28" spans="2:20" ht="15.6" x14ac:dyDescent="0.3">
      <c r="B28" s="95"/>
      <c r="C28" s="92" t="s">
        <v>119</v>
      </c>
      <c r="D28" s="7" t="s">
        <v>83</v>
      </c>
      <c r="E28" s="7"/>
      <c r="F28" s="10">
        <v>1</v>
      </c>
      <c r="G28" s="26" t="s">
        <v>116</v>
      </c>
      <c r="H28" s="24" t="s">
        <v>84</v>
      </c>
      <c r="I28" s="10">
        <v>1</v>
      </c>
      <c r="J28" s="26"/>
      <c r="K28" s="26"/>
      <c r="L28" s="26"/>
      <c r="M28" s="26"/>
      <c r="N28" s="26"/>
      <c r="O28" s="26"/>
      <c r="P28" s="26"/>
      <c r="Q28" s="26"/>
      <c r="R28" s="26"/>
      <c r="S28" s="26"/>
      <c r="T28" s="26"/>
    </row>
    <row r="29" spans="2:20" ht="30" x14ac:dyDescent="0.3">
      <c r="B29" s="95"/>
      <c r="C29" s="92"/>
      <c r="D29" s="7" t="s">
        <v>91</v>
      </c>
      <c r="E29" s="7"/>
      <c r="F29" s="10">
        <v>1</v>
      </c>
      <c r="G29" s="26" t="s">
        <v>116</v>
      </c>
      <c r="H29" s="24" t="s">
        <v>84</v>
      </c>
      <c r="I29" s="10">
        <v>1</v>
      </c>
      <c r="J29" s="26"/>
      <c r="K29" s="26"/>
      <c r="L29" s="26"/>
      <c r="M29" s="26"/>
      <c r="N29" s="26"/>
      <c r="O29" s="26"/>
      <c r="P29" s="26"/>
      <c r="Q29" s="26"/>
      <c r="R29" s="26"/>
      <c r="S29" s="26"/>
      <c r="T29" s="26"/>
    </row>
    <row r="30" spans="2:20" ht="15.6" x14ac:dyDescent="0.3">
      <c r="B30" s="95"/>
      <c r="C30" s="92"/>
      <c r="D30" s="7" t="s">
        <v>71</v>
      </c>
      <c r="E30" s="7"/>
      <c r="F30" s="10">
        <v>1</v>
      </c>
      <c r="G30" s="26" t="s">
        <v>116</v>
      </c>
      <c r="H30" s="24" t="s">
        <v>84</v>
      </c>
      <c r="I30" s="10">
        <v>1</v>
      </c>
      <c r="J30" s="26"/>
      <c r="K30" s="26"/>
      <c r="L30" s="26"/>
      <c r="M30" s="26"/>
      <c r="N30" s="26"/>
      <c r="O30" s="26"/>
      <c r="P30" s="26"/>
      <c r="Q30" s="26"/>
      <c r="R30" s="26"/>
      <c r="S30" s="26"/>
      <c r="T30" s="26"/>
    </row>
    <row r="31" spans="2:20" ht="45" x14ac:dyDescent="0.3">
      <c r="B31" s="95"/>
      <c r="C31" s="92"/>
      <c r="D31" s="7" t="s">
        <v>72</v>
      </c>
      <c r="E31" s="7" t="s">
        <v>90</v>
      </c>
      <c r="F31" s="10">
        <v>1</v>
      </c>
      <c r="G31" s="26" t="s">
        <v>116</v>
      </c>
      <c r="H31" s="24" t="s">
        <v>84</v>
      </c>
      <c r="I31" s="10">
        <v>1</v>
      </c>
      <c r="J31" s="26"/>
      <c r="K31" s="26"/>
      <c r="L31" s="26"/>
      <c r="M31" s="26"/>
      <c r="N31" s="26"/>
      <c r="O31" s="26"/>
      <c r="P31" s="26"/>
      <c r="Q31" s="26"/>
      <c r="R31" s="26"/>
      <c r="S31" s="26"/>
      <c r="T31" s="26"/>
    </row>
    <row r="32" spans="2:20" ht="15.6" x14ac:dyDescent="0.3">
      <c r="B32" s="95"/>
      <c r="C32" s="92" t="s">
        <v>67</v>
      </c>
      <c r="D32" s="7" t="s">
        <v>82</v>
      </c>
      <c r="E32" s="7"/>
      <c r="F32" s="10">
        <v>1</v>
      </c>
      <c r="G32" s="26" t="s">
        <v>116</v>
      </c>
      <c r="H32" s="24" t="s">
        <v>84</v>
      </c>
      <c r="I32" s="10">
        <v>1</v>
      </c>
      <c r="J32" s="26"/>
      <c r="K32" s="26"/>
      <c r="L32" s="26"/>
      <c r="M32" s="26"/>
      <c r="N32" s="26"/>
      <c r="O32" s="26"/>
      <c r="P32" s="26"/>
      <c r="Q32" s="26"/>
      <c r="R32" s="26"/>
      <c r="S32" s="26"/>
      <c r="T32" s="26"/>
    </row>
    <row r="33" spans="2:20" ht="15.6" x14ac:dyDescent="0.3">
      <c r="B33" s="95"/>
      <c r="C33" s="92"/>
      <c r="D33" s="7" t="s">
        <v>73</v>
      </c>
      <c r="E33" s="7"/>
      <c r="F33" s="10">
        <v>1</v>
      </c>
      <c r="G33" s="26" t="s">
        <v>116</v>
      </c>
      <c r="H33" s="24" t="s">
        <v>84</v>
      </c>
      <c r="I33" s="10">
        <v>1</v>
      </c>
      <c r="J33" s="26"/>
      <c r="K33" s="26"/>
      <c r="L33" s="26"/>
      <c r="M33" s="26"/>
      <c r="N33" s="26"/>
      <c r="O33" s="26"/>
      <c r="P33" s="26"/>
      <c r="Q33" s="26"/>
      <c r="R33" s="26"/>
      <c r="S33" s="26"/>
      <c r="T33" s="26"/>
    </row>
    <row r="34" spans="2:20" ht="60" x14ac:dyDescent="0.3">
      <c r="B34" s="95"/>
      <c r="C34" s="92"/>
      <c r="D34" s="7" t="s">
        <v>74</v>
      </c>
      <c r="E34" s="7" t="s">
        <v>92</v>
      </c>
      <c r="F34" s="10">
        <v>1</v>
      </c>
      <c r="G34" s="26" t="s">
        <v>116</v>
      </c>
      <c r="H34" s="24" t="s">
        <v>84</v>
      </c>
      <c r="I34" s="10">
        <v>1</v>
      </c>
      <c r="J34" s="26"/>
      <c r="K34" s="26"/>
      <c r="L34" s="26"/>
      <c r="M34" s="26"/>
      <c r="N34" s="26"/>
      <c r="O34" s="26"/>
      <c r="P34" s="26"/>
      <c r="Q34" s="26"/>
      <c r="R34" s="26"/>
      <c r="S34" s="26"/>
      <c r="T34" s="26"/>
    </row>
    <row r="35" spans="2:20" ht="15.6" x14ac:dyDescent="0.3">
      <c r="B35" s="95"/>
      <c r="C35" s="92"/>
      <c r="D35" s="7" t="s">
        <v>93</v>
      </c>
      <c r="E35" s="7"/>
      <c r="F35" s="10">
        <v>1</v>
      </c>
      <c r="G35" s="26" t="s">
        <v>116</v>
      </c>
      <c r="H35" s="24" t="s">
        <v>84</v>
      </c>
      <c r="I35" s="10">
        <v>1</v>
      </c>
      <c r="J35" s="26"/>
      <c r="K35" s="26"/>
      <c r="L35" s="26"/>
      <c r="M35" s="26"/>
      <c r="N35" s="26"/>
      <c r="O35" s="26"/>
      <c r="P35" s="26"/>
      <c r="Q35" s="26"/>
      <c r="R35" s="26"/>
      <c r="S35" s="26"/>
      <c r="T35" s="26"/>
    </row>
    <row r="36" spans="2:20" ht="30" x14ac:dyDescent="0.3">
      <c r="B36" s="95"/>
      <c r="C36" s="92"/>
      <c r="D36" s="7" t="s">
        <v>69</v>
      </c>
      <c r="E36" s="7"/>
      <c r="F36" s="10">
        <v>1</v>
      </c>
      <c r="G36" s="26" t="s">
        <v>116</v>
      </c>
      <c r="H36" s="24" t="s">
        <v>84</v>
      </c>
      <c r="I36" s="10">
        <v>1</v>
      </c>
      <c r="J36" s="26"/>
      <c r="K36" s="26"/>
      <c r="L36" s="26"/>
      <c r="M36" s="26"/>
      <c r="N36" s="26"/>
      <c r="O36" s="26"/>
      <c r="P36" s="26"/>
      <c r="Q36" s="26"/>
      <c r="R36" s="26"/>
      <c r="S36" s="26"/>
      <c r="T36" s="26"/>
    </row>
    <row r="37" spans="2:20" ht="15.6" x14ac:dyDescent="0.3">
      <c r="B37" s="95"/>
      <c r="C37" s="92" t="s">
        <v>54</v>
      </c>
      <c r="D37" s="7" t="s">
        <v>82</v>
      </c>
      <c r="E37" s="7"/>
      <c r="F37" s="10">
        <v>1</v>
      </c>
      <c r="G37" s="26" t="s">
        <v>116</v>
      </c>
      <c r="H37" s="24" t="s">
        <v>84</v>
      </c>
      <c r="I37" s="10">
        <v>1</v>
      </c>
      <c r="J37" s="26"/>
      <c r="K37" s="26"/>
      <c r="L37" s="26"/>
      <c r="M37" s="26"/>
      <c r="N37" s="26"/>
      <c r="O37" s="26"/>
      <c r="P37" s="26"/>
      <c r="Q37" s="26"/>
      <c r="R37" s="26"/>
      <c r="S37" s="26"/>
      <c r="T37" s="26"/>
    </row>
    <row r="38" spans="2:20" ht="15.6" x14ac:dyDescent="0.3">
      <c r="B38" s="95"/>
      <c r="C38" s="92"/>
      <c r="D38" s="7" t="s">
        <v>73</v>
      </c>
      <c r="E38" s="7"/>
      <c r="F38" s="10">
        <v>1</v>
      </c>
      <c r="G38" s="26" t="s">
        <v>116</v>
      </c>
      <c r="H38" s="24" t="s">
        <v>84</v>
      </c>
      <c r="I38" s="10">
        <v>1</v>
      </c>
      <c r="J38" s="26"/>
      <c r="K38" s="26"/>
      <c r="L38" s="26"/>
      <c r="M38" s="26"/>
      <c r="N38" s="26"/>
      <c r="O38" s="26"/>
      <c r="P38" s="26"/>
      <c r="Q38" s="26"/>
      <c r="R38" s="26"/>
      <c r="S38" s="26"/>
      <c r="T38" s="26"/>
    </row>
    <row r="39" spans="2:20" ht="60" x14ac:dyDescent="0.3">
      <c r="B39" s="95"/>
      <c r="C39" s="92"/>
      <c r="D39" s="7" t="s">
        <v>74</v>
      </c>
      <c r="E39" s="7" t="s">
        <v>92</v>
      </c>
      <c r="F39" s="10">
        <v>1</v>
      </c>
      <c r="G39" s="26" t="s">
        <v>116</v>
      </c>
      <c r="H39" s="24" t="s">
        <v>84</v>
      </c>
      <c r="I39" s="10">
        <v>1</v>
      </c>
      <c r="J39" s="26"/>
      <c r="K39" s="26"/>
      <c r="L39" s="26"/>
      <c r="M39" s="26"/>
      <c r="N39" s="26"/>
      <c r="O39" s="26"/>
      <c r="P39" s="26"/>
      <c r="Q39" s="26"/>
      <c r="R39" s="26"/>
      <c r="S39" s="26"/>
      <c r="T39" s="26"/>
    </row>
    <row r="40" spans="2:20" ht="15.6" x14ac:dyDescent="0.3">
      <c r="B40" s="95"/>
      <c r="C40" s="92"/>
      <c r="D40" s="7" t="s">
        <v>93</v>
      </c>
      <c r="E40" s="7"/>
      <c r="F40" s="10">
        <v>1</v>
      </c>
      <c r="G40" s="26" t="s">
        <v>116</v>
      </c>
      <c r="H40" s="24" t="s">
        <v>84</v>
      </c>
      <c r="I40" s="10">
        <v>1</v>
      </c>
      <c r="J40" s="26"/>
      <c r="K40" s="26"/>
      <c r="L40" s="26"/>
      <c r="M40" s="26"/>
      <c r="N40" s="26"/>
      <c r="O40" s="26"/>
      <c r="P40" s="26"/>
      <c r="Q40" s="26"/>
      <c r="R40" s="26"/>
      <c r="S40" s="26"/>
      <c r="T40" s="26"/>
    </row>
    <row r="41" spans="2:20" ht="30.6" thickBot="1" x14ac:dyDescent="0.35">
      <c r="B41" s="96"/>
      <c r="C41" s="93"/>
      <c r="D41" s="9" t="s">
        <v>70</v>
      </c>
      <c r="E41" s="9"/>
      <c r="F41" s="16">
        <v>1</v>
      </c>
      <c r="G41" s="57" t="s">
        <v>116</v>
      </c>
      <c r="H41" s="58" t="s">
        <v>84</v>
      </c>
      <c r="I41" s="10">
        <v>1</v>
      </c>
      <c r="J41" s="57"/>
      <c r="K41" s="57"/>
      <c r="L41" s="57"/>
      <c r="M41" s="57"/>
      <c r="N41" s="57"/>
      <c r="O41" s="57"/>
      <c r="P41" s="57"/>
      <c r="Q41" s="57"/>
      <c r="R41" s="57"/>
      <c r="S41" s="57"/>
      <c r="T41" s="57"/>
    </row>
    <row r="42" spans="2:20" ht="15.6" thickBot="1" x14ac:dyDescent="0.35">
      <c r="B42" s="59"/>
      <c r="C42" s="60"/>
      <c r="D42" s="60"/>
      <c r="E42" s="60"/>
      <c r="F42" s="60"/>
      <c r="G42" s="60"/>
      <c r="H42" s="60"/>
      <c r="I42" s="60"/>
      <c r="J42" s="60"/>
      <c r="K42" s="60"/>
      <c r="L42" s="60"/>
      <c r="M42" s="60"/>
      <c r="N42" s="60"/>
      <c r="O42" s="60"/>
      <c r="P42" s="60"/>
      <c r="Q42" s="60"/>
      <c r="R42" s="60"/>
      <c r="S42" s="60"/>
      <c r="T42" s="61"/>
    </row>
    <row r="43" spans="2:20" ht="15" thickBot="1" x14ac:dyDescent="0.35"/>
    <row r="44" spans="2:20" ht="16.2" thickBot="1" x14ac:dyDescent="0.35">
      <c r="C44" s="3" t="s">
        <v>55</v>
      </c>
      <c r="D44" s="3"/>
      <c r="E44" s="11"/>
      <c r="F44" s="12">
        <f>SUM(F6)</f>
        <v>34</v>
      </c>
      <c r="H44" s="62" t="s">
        <v>293</v>
      </c>
      <c r="I44" s="63">
        <f>SUM(I7:I42)</f>
        <v>44</v>
      </c>
      <c r="J44"/>
      <c r="K44"/>
      <c r="L44"/>
      <c r="M44"/>
      <c r="N44"/>
      <c r="O44"/>
      <c r="P44"/>
      <c r="Q44"/>
      <c r="R44"/>
      <c r="S44"/>
      <c r="T44"/>
    </row>
    <row r="45" spans="2:20" ht="16.2" thickBot="1" x14ac:dyDescent="0.35">
      <c r="H45" s="64" t="s">
        <v>294</v>
      </c>
      <c r="I45" s="65">
        <f>I44/8</f>
        <v>5.5</v>
      </c>
      <c r="J45"/>
      <c r="K45"/>
      <c r="L45"/>
      <c r="M45"/>
      <c r="N45"/>
      <c r="O45"/>
      <c r="P45"/>
      <c r="Q45"/>
      <c r="R45"/>
      <c r="S45"/>
      <c r="T45"/>
    </row>
    <row r="46" spans="2:20" x14ac:dyDescent="0.3">
      <c r="H46"/>
      <c r="I46"/>
      <c r="J46"/>
      <c r="K46"/>
      <c r="L46"/>
      <c r="M46"/>
      <c r="N46"/>
      <c r="O46"/>
      <c r="P46"/>
      <c r="Q46"/>
      <c r="R46"/>
      <c r="S46"/>
      <c r="T46"/>
    </row>
    <row r="47" spans="2:20" x14ac:dyDescent="0.3">
      <c r="H47"/>
      <c r="I47"/>
      <c r="J47"/>
      <c r="K47"/>
      <c r="L47"/>
      <c r="M47"/>
      <c r="N47"/>
      <c r="O47"/>
      <c r="P47"/>
      <c r="Q47"/>
      <c r="R47"/>
      <c r="S47"/>
      <c r="T47"/>
    </row>
    <row r="48" spans="2:20" x14ac:dyDescent="0.3">
      <c r="H48"/>
      <c r="I48"/>
      <c r="J48"/>
      <c r="K48"/>
      <c r="L48"/>
      <c r="M48"/>
      <c r="N48"/>
      <c r="O48"/>
      <c r="P48"/>
      <c r="Q48"/>
      <c r="R48"/>
      <c r="S48"/>
      <c r="T48"/>
    </row>
    <row r="49" spans="8:20" x14ac:dyDescent="0.3">
      <c r="H49"/>
      <c r="I49"/>
      <c r="J49"/>
      <c r="K49"/>
      <c r="L49"/>
      <c r="M49"/>
      <c r="N49"/>
      <c r="O49"/>
      <c r="P49"/>
      <c r="Q49"/>
      <c r="R49"/>
      <c r="S49"/>
      <c r="T49"/>
    </row>
    <row r="50" spans="8:20" x14ac:dyDescent="0.3">
      <c r="H50"/>
      <c r="I50"/>
      <c r="J50"/>
      <c r="K50"/>
      <c r="L50"/>
      <c r="M50"/>
      <c r="N50"/>
      <c r="O50"/>
      <c r="P50"/>
      <c r="Q50"/>
      <c r="R50"/>
      <c r="S50"/>
      <c r="T50"/>
    </row>
  </sheetData>
  <mergeCells count="14">
    <mergeCell ref="B2:T2"/>
    <mergeCell ref="C3:J3"/>
    <mergeCell ref="B7:B12"/>
    <mergeCell ref="C37:C41"/>
    <mergeCell ref="B14:B41"/>
    <mergeCell ref="C5:E5"/>
    <mergeCell ref="C14:C19"/>
    <mergeCell ref="C9:C12"/>
    <mergeCell ref="C25:C27"/>
    <mergeCell ref="C28:C31"/>
    <mergeCell ref="C32:C36"/>
    <mergeCell ref="D17:D19"/>
    <mergeCell ref="C20:C21"/>
    <mergeCell ref="C22:C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8806C-50F8-4665-8862-C0414DE532E9}">
  <dimension ref="B2:T64"/>
  <sheetViews>
    <sheetView showGridLines="0" zoomScaleNormal="100" workbookViewId="0">
      <selection activeCell="H13" sqref="H13"/>
    </sheetView>
  </sheetViews>
  <sheetFormatPr baseColWidth="10" defaultRowHeight="14.4" x14ac:dyDescent="0.3"/>
  <cols>
    <col min="2" max="2" width="18" bestFit="1" customWidth="1"/>
    <col min="3" max="3" width="22.44140625" bestFit="1" customWidth="1"/>
    <col min="4" max="4" width="28.88671875" bestFit="1" customWidth="1"/>
    <col min="5" max="5" width="24.6640625" bestFit="1" customWidth="1"/>
    <col min="6" max="6" width="12.21875" bestFit="1" customWidth="1"/>
    <col min="7" max="7" width="15.21875" bestFit="1" customWidth="1"/>
    <col min="8" max="8" width="11.88671875" bestFit="1" customWidth="1"/>
    <col min="9" max="9" width="11.33203125" bestFit="1" customWidth="1"/>
    <col min="10" max="18" width="6.77734375" bestFit="1" customWidth="1"/>
    <col min="19" max="19" width="8.21875" bestFit="1" customWidth="1"/>
    <col min="20" max="20" width="14.6640625" bestFit="1" customWidth="1"/>
  </cols>
  <sheetData>
    <row r="2" spans="2:20" x14ac:dyDescent="0.3">
      <c r="B2" s="4"/>
      <c r="C2" s="4"/>
      <c r="D2" s="4"/>
      <c r="E2" s="4"/>
      <c r="F2" s="4"/>
      <c r="G2" s="4"/>
      <c r="H2" s="4"/>
      <c r="I2" s="4"/>
      <c r="J2" s="4"/>
      <c r="K2" s="4"/>
      <c r="L2" s="4"/>
      <c r="M2" s="4"/>
      <c r="N2" s="4"/>
      <c r="O2" s="4"/>
      <c r="P2" s="4"/>
      <c r="Q2" s="4"/>
      <c r="R2" s="4"/>
      <c r="S2" s="4"/>
      <c r="T2" s="4"/>
    </row>
    <row r="3" spans="2:20" ht="21" customHeight="1" x14ac:dyDescent="0.3">
      <c r="B3" s="103" t="s">
        <v>349</v>
      </c>
      <c r="C3" s="103"/>
      <c r="D3" s="103"/>
      <c r="E3" s="103"/>
      <c r="F3" s="103"/>
      <c r="G3" s="103"/>
      <c r="H3" s="103"/>
      <c r="I3" s="103"/>
      <c r="J3" s="103"/>
      <c r="K3" s="103"/>
      <c r="L3" s="103"/>
      <c r="M3" s="103"/>
      <c r="N3" s="103"/>
      <c r="O3" s="103"/>
      <c r="P3" s="103"/>
      <c r="Q3" s="103"/>
      <c r="R3" s="103"/>
      <c r="S3" s="103"/>
      <c r="T3" s="103"/>
    </row>
    <row r="4" spans="2:20" ht="29.4" customHeight="1" x14ac:dyDescent="0.3">
      <c r="B4" s="5" t="s">
        <v>35</v>
      </c>
      <c r="C4" s="104" t="s">
        <v>338</v>
      </c>
      <c r="D4" s="105"/>
      <c r="E4" s="105"/>
      <c r="F4" s="105"/>
      <c r="G4" s="105"/>
      <c r="H4" s="105"/>
      <c r="I4" s="105"/>
      <c r="J4" s="105"/>
      <c r="K4" s="105"/>
      <c r="L4" s="4"/>
      <c r="M4" s="4"/>
      <c r="N4" s="4"/>
      <c r="O4" s="4"/>
      <c r="P4" s="4"/>
      <c r="Q4" s="4"/>
      <c r="R4" s="4"/>
      <c r="S4" s="4"/>
      <c r="T4" s="4"/>
    </row>
    <row r="5" spans="2:20" ht="15" thickBot="1" x14ac:dyDescent="0.35">
      <c r="B5" s="4"/>
      <c r="C5" s="4"/>
      <c r="D5" s="4"/>
      <c r="E5" s="4"/>
      <c r="F5" s="4"/>
      <c r="G5" s="4"/>
      <c r="H5" s="4"/>
      <c r="I5" s="4"/>
      <c r="J5" s="4"/>
      <c r="K5" s="4"/>
      <c r="L5" s="4"/>
      <c r="M5" s="4"/>
      <c r="N5" s="4"/>
      <c r="O5" s="4"/>
      <c r="P5" s="4"/>
      <c r="Q5" s="4"/>
      <c r="R5" s="4"/>
      <c r="S5" s="4"/>
      <c r="T5" s="4"/>
    </row>
    <row r="6" spans="2:20" ht="54.6" thickBot="1" x14ac:dyDescent="0.35">
      <c r="B6" s="40" t="s">
        <v>36</v>
      </c>
      <c r="C6" s="97" t="s">
        <v>21</v>
      </c>
      <c r="D6" s="98"/>
      <c r="E6" s="99"/>
      <c r="F6" s="42" t="s">
        <v>37</v>
      </c>
      <c r="G6" s="41" t="s">
        <v>38</v>
      </c>
      <c r="H6" s="42" t="s">
        <v>3</v>
      </c>
      <c r="I6" s="42" t="s">
        <v>39</v>
      </c>
      <c r="J6" s="42" t="s">
        <v>40</v>
      </c>
      <c r="K6" s="42" t="s">
        <v>41</v>
      </c>
      <c r="L6" s="42" t="s">
        <v>42</v>
      </c>
      <c r="M6" s="42" t="s">
        <v>43</v>
      </c>
      <c r="N6" s="42" t="s">
        <v>44</v>
      </c>
      <c r="O6" s="42" t="s">
        <v>45</v>
      </c>
      <c r="P6" s="42" t="s">
        <v>46</v>
      </c>
      <c r="Q6" s="42" t="s">
        <v>47</v>
      </c>
      <c r="R6" s="42" t="s">
        <v>48</v>
      </c>
      <c r="S6" s="42" t="s">
        <v>49</v>
      </c>
      <c r="T6" s="42" t="s">
        <v>50</v>
      </c>
    </row>
    <row r="7" spans="2:20" ht="21.6" thickBot="1" x14ac:dyDescent="0.35">
      <c r="B7" s="38" t="s">
        <v>12</v>
      </c>
      <c r="C7" s="33"/>
      <c r="D7" s="33"/>
      <c r="E7" s="33"/>
      <c r="F7" s="14">
        <f>SUM(F8:F35)</f>
        <v>27</v>
      </c>
      <c r="G7" s="33"/>
      <c r="H7" s="35"/>
      <c r="I7" s="35"/>
      <c r="J7" s="33"/>
      <c r="K7" s="33"/>
      <c r="L7" s="33"/>
      <c r="M7" s="33"/>
      <c r="N7" s="33"/>
      <c r="O7" s="33"/>
      <c r="P7" s="33"/>
      <c r="Q7" s="33"/>
      <c r="R7" s="33"/>
      <c r="S7" s="33"/>
      <c r="T7" s="34"/>
    </row>
    <row r="8" spans="2:20" ht="15.6" x14ac:dyDescent="0.3">
      <c r="B8" s="111" t="s">
        <v>53</v>
      </c>
      <c r="C8" s="93" t="s">
        <v>57</v>
      </c>
      <c r="D8" s="7" t="s">
        <v>121</v>
      </c>
      <c r="E8" s="7"/>
      <c r="F8" s="7">
        <v>1</v>
      </c>
      <c r="G8" s="26" t="s">
        <v>116</v>
      </c>
      <c r="H8" s="24" t="s">
        <v>84</v>
      </c>
      <c r="I8" s="7">
        <v>1</v>
      </c>
      <c r="J8" s="26"/>
      <c r="K8" s="26"/>
      <c r="L8" s="26"/>
      <c r="M8" s="26"/>
      <c r="N8" s="26"/>
      <c r="O8" s="26"/>
      <c r="P8" s="26"/>
      <c r="Q8" s="26"/>
      <c r="R8" s="26"/>
      <c r="S8" s="26"/>
      <c r="T8" s="26"/>
    </row>
    <row r="9" spans="2:20" ht="30" x14ac:dyDescent="0.3">
      <c r="B9" s="109"/>
      <c r="C9" s="101"/>
      <c r="D9" s="7" t="s">
        <v>152</v>
      </c>
      <c r="E9" s="7"/>
      <c r="F9" s="7">
        <v>1</v>
      </c>
      <c r="G9" s="26" t="s">
        <v>116</v>
      </c>
      <c r="H9" s="24" t="s">
        <v>84</v>
      </c>
      <c r="I9" s="7">
        <v>1</v>
      </c>
      <c r="J9" s="26"/>
      <c r="K9" s="26"/>
      <c r="L9" s="26"/>
      <c r="M9" s="26"/>
      <c r="N9" s="26"/>
      <c r="O9" s="26"/>
      <c r="P9" s="26"/>
      <c r="Q9" s="26"/>
      <c r="R9" s="26"/>
      <c r="S9" s="26"/>
      <c r="T9" s="26"/>
    </row>
    <row r="10" spans="2:20" ht="15.6" x14ac:dyDescent="0.3">
      <c r="B10" s="109"/>
      <c r="C10" s="101"/>
      <c r="D10" s="7" t="s">
        <v>151</v>
      </c>
      <c r="E10" s="7"/>
      <c r="F10" s="7">
        <v>1</v>
      </c>
      <c r="G10" s="26" t="s">
        <v>116</v>
      </c>
      <c r="H10" s="24" t="s">
        <v>84</v>
      </c>
      <c r="I10" s="7">
        <v>1</v>
      </c>
      <c r="J10" s="26"/>
      <c r="K10" s="26"/>
      <c r="L10" s="26"/>
      <c r="M10" s="26"/>
      <c r="N10" s="26"/>
      <c r="O10" s="26"/>
      <c r="P10" s="26"/>
      <c r="Q10" s="26"/>
      <c r="R10" s="26"/>
      <c r="S10" s="26"/>
      <c r="T10" s="26"/>
    </row>
    <row r="11" spans="2:20" ht="30" x14ac:dyDescent="0.3">
      <c r="B11" s="109"/>
      <c r="C11" s="101"/>
      <c r="D11" s="93" t="s">
        <v>144</v>
      </c>
      <c r="E11" s="7" t="s">
        <v>149</v>
      </c>
      <c r="F11" s="7">
        <v>1</v>
      </c>
      <c r="G11" s="26" t="s">
        <v>116</v>
      </c>
      <c r="H11" s="24" t="s">
        <v>84</v>
      </c>
      <c r="I11" s="7">
        <v>2</v>
      </c>
      <c r="J11" s="26"/>
      <c r="K11" s="26"/>
      <c r="L11" s="26"/>
      <c r="M11" s="26"/>
      <c r="N11" s="26"/>
      <c r="O11" s="26"/>
      <c r="P11" s="26"/>
      <c r="Q11" s="26"/>
      <c r="R11" s="26"/>
      <c r="S11" s="26"/>
      <c r="T11" s="26"/>
    </row>
    <row r="12" spans="2:20" ht="15.6" x14ac:dyDescent="0.3">
      <c r="B12" s="109"/>
      <c r="C12" s="101"/>
      <c r="D12" s="102"/>
      <c r="E12" s="31" t="s">
        <v>150</v>
      </c>
      <c r="F12" s="7">
        <v>1</v>
      </c>
      <c r="G12" s="26" t="s">
        <v>116</v>
      </c>
      <c r="H12" s="24" t="s">
        <v>84</v>
      </c>
      <c r="I12" s="7">
        <v>2</v>
      </c>
      <c r="J12" s="26"/>
      <c r="K12" s="26"/>
      <c r="L12" s="26"/>
      <c r="M12" s="26"/>
      <c r="N12" s="26"/>
      <c r="O12" s="26"/>
      <c r="P12" s="26"/>
      <c r="Q12" s="26"/>
      <c r="R12" s="26"/>
      <c r="S12" s="26"/>
      <c r="T12" s="26"/>
    </row>
    <row r="13" spans="2:20" ht="30" x14ac:dyDescent="0.3">
      <c r="B13" s="109"/>
      <c r="C13" s="101"/>
      <c r="D13" s="93" t="s">
        <v>145</v>
      </c>
      <c r="E13" s="7" t="s">
        <v>149</v>
      </c>
      <c r="F13" s="7">
        <v>1</v>
      </c>
      <c r="G13" s="26" t="s">
        <v>116</v>
      </c>
      <c r="H13" s="89" t="s">
        <v>84</v>
      </c>
      <c r="I13" s="7">
        <v>2</v>
      </c>
      <c r="J13" s="26"/>
      <c r="K13" s="26"/>
      <c r="L13" s="26"/>
      <c r="M13" s="26"/>
      <c r="N13" s="26"/>
      <c r="O13" s="26"/>
      <c r="P13" s="26"/>
      <c r="Q13" s="26"/>
      <c r="R13" s="26"/>
      <c r="S13" s="26"/>
      <c r="T13" s="26"/>
    </row>
    <row r="14" spans="2:20" ht="15.6" x14ac:dyDescent="0.3">
      <c r="B14" s="109"/>
      <c r="C14" s="101"/>
      <c r="D14" s="102"/>
      <c r="E14" s="31" t="s">
        <v>150</v>
      </c>
      <c r="F14" s="7">
        <v>1</v>
      </c>
      <c r="G14" s="26" t="s">
        <v>116</v>
      </c>
      <c r="H14" s="24" t="s">
        <v>84</v>
      </c>
      <c r="I14" s="7">
        <v>2</v>
      </c>
      <c r="J14" s="26"/>
      <c r="K14" s="26"/>
      <c r="L14" s="26"/>
      <c r="M14" s="26"/>
      <c r="N14" s="26"/>
      <c r="O14" s="26"/>
      <c r="P14" s="26"/>
      <c r="Q14" s="26"/>
      <c r="R14" s="26"/>
      <c r="S14" s="26"/>
      <c r="T14" s="26"/>
    </row>
    <row r="15" spans="2:20" ht="30" x14ac:dyDescent="0.3">
      <c r="B15" s="109"/>
      <c r="C15" s="101"/>
      <c r="D15" s="93" t="s">
        <v>146</v>
      </c>
      <c r="E15" s="7" t="s">
        <v>149</v>
      </c>
      <c r="F15" s="7">
        <v>1</v>
      </c>
      <c r="G15" s="26" t="s">
        <v>116</v>
      </c>
      <c r="H15" s="24" t="s">
        <v>84</v>
      </c>
      <c r="I15" s="7">
        <v>2</v>
      </c>
      <c r="J15" s="26"/>
      <c r="K15" s="26"/>
      <c r="L15" s="26"/>
      <c r="M15" s="26"/>
      <c r="N15" s="26"/>
      <c r="O15" s="26"/>
      <c r="P15" s="26"/>
      <c r="Q15" s="26"/>
      <c r="R15" s="26"/>
      <c r="S15" s="26"/>
      <c r="T15" s="26"/>
    </row>
    <row r="16" spans="2:20" ht="15.6" x14ac:dyDescent="0.3">
      <c r="B16" s="109"/>
      <c r="C16" s="101"/>
      <c r="D16" s="102"/>
      <c r="E16" s="31" t="s">
        <v>150</v>
      </c>
      <c r="F16" s="7">
        <v>1</v>
      </c>
      <c r="G16" s="26" t="s">
        <v>116</v>
      </c>
      <c r="H16" s="24" t="s">
        <v>84</v>
      </c>
      <c r="I16" s="7">
        <v>2</v>
      </c>
      <c r="J16" s="26"/>
      <c r="K16" s="26"/>
      <c r="L16" s="26"/>
      <c r="M16" s="26"/>
      <c r="N16" s="26"/>
      <c r="O16" s="26"/>
      <c r="P16" s="26"/>
      <c r="Q16" s="26"/>
      <c r="R16" s="26"/>
      <c r="S16" s="26"/>
      <c r="T16" s="26"/>
    </row>
    <row r="17" spans="2:20" ht="30" x14ac:dyDescent="0.3">
      <c r="B17" s="109"/>
      <c r="C17" s="101"/>
      <c r="D17" s="93" t="s">
        <v>147</v>
      </c>
      <c r="E17" s="7" t="s">
        <v>149</v>
      </c>
      <c r="F17" s="7">
        <v>1</v>
      </c>
      <c r="G17" s="26" t="s">
        <v>116</v>
      </c>
      <c r="H17" s="24" t="s">
        <v>84</v>
      </c>
      <c r="I17" s="7">
        <v>2</v>
      </c>
      <c r="J17" s="26"/>
      <c r="K17" s="26"/>
      <c r="L17" s="26"/>
      <c r="M17" s="26"/>
      <c r="N17" s="26"/>
      <c r="O17" s="26"/>
      <c r="P17" s="26"/>
      <c r="Q17" s="26"/>
      <c r="R17" s="26"/>
      <c r="S17" s="26"/>
      <c r="T17" s="26"/>
    </row>
    <row r="18" spans="2:20" ht="15.6" x14ac:dyDescent="0.3">
      <c r="B18" s="109"/>
      <c r="C18" s="101"/>
      <c r="D18" s="102"/>
      <c r="E18" s="31" t="s">
        <v>150</v>
      </c>
      <c r="F18" s="7">
        <v>1</v>
      </c>
      <c r="G18" s="26" t="s">
        <v>116</v>
      </c>
      <c r="H18" s="24" t="s">
        <v>84</v>
      </c>
      <c r="I18" s="7">
        <v>2</v>
      </c>
      <c r="J18" s="26"/>
      <c r="K18" s="26"/>
      <c r="L18" s="26"/>
      <c r="M18" s="26"/>
      <c r="N18" s="26"/>
      <c r="O18" s="26"/>
      <c r="P18" s="26"/>
      <c r="Q18" s="26"/>
      <c r="R18" s="26"/>
      <c r="S18" s="26"/>
      <c r="T18" s="26"/>
    </row>
    <row r="19" spans="2:20" ht="30" x14ac:dyDescent="0.3">
      <c r="B19" s="109"/>
      <c r="C19" s="101"/>
      <c r="D19" s="93" t="s">
        <v>148</v>
      </c>
      <c r="E19" s="7" t="s">
        <v>149</v>
      </c>
      <c r="F19" s="7">
        <v>1</v>
      </c>
      <c r="G19" s="26" t="s">
        <v>116</v>
      </c>
      <c r="H19" s="24" t="s">
        <v>84</v>
      </c>
      <c r="I19" s="7">
        <v>2</v>
      </c>
      <c r="J19" s="26"/>
      <c r="K19" s="26"/>
      <c r="L19" s="26"/>
      <c r="M19" s="26"/>
      <c r="N19" s="26"/>
      <c r="O19" s="26"/>
      <c r="P19" s="26"/>
      <c r="Q19" s="26"/>
      <c r="R19" s="26"/>
      <c r="S19" s="26"/>
      <c r="T19" s="26"/>
    </row>
    <row r="20" spans="2:20" ht="15.6" x14ac:dyDescent="0.3">
      <c r="B20" s="109"/>
      <c r="C20" s="101"/>
      <c r="D20" s="102"/>
      <c r="E20" s="31" t="s">
        <v>150</v>
      </c>
      <c r="F20" s="7">
        <v>1</v>
      </c>
      <c r="G20" s="26" t="s">
        <v>116</v>
      </c>
      <c r="H20" s="24" t="s">
        <v>84</v>
      </c>
      <c r="I20" s="7">
        <v>2</v>
      </c>
      <c r="J20" s="26"/>
      <c r="K20" s="26"/>
      <c r="L20" s="26"/>
      <c r="M20" s="26"/>
      <c r="N20" s="26"/>
      <c r="O20" s="26"/>
      <c r="P20" s="26"/>
      <c r="Q20" s="26"/>
      <c r="R20" s="26"/>
      <c r="S20" s="26"/>
      <c r="T20" s="26"/>
    </row>
    <row r="21" spans="2:20" ht="30" x14ac:dyDescent="0.3">
      <c r="B21" s="109"/>
      <c r="C21" s="93" t="s">
        <v>75</v>
      </c>
      <c r="D21" s="36" t="s">
        <v>153</v>
      </c>
      <c r="E21" s="7"/>
      <c r="F21" s="7">
        <v>1</v>
      </c>
      <c r="G21" s="26" t="s">
        <v>116</v>
      </c>
      <c r="H21" s="24" t="s">
        <v>84</v>
      </c>
      <c r="I21" s="7">
        <v>4</v>
      </c>
      <c r="J21" s="26"/>
      <c r="K21" s="26"/>
      <c r="L21" s="26"/>
      <c r="M21" s="26"/>
      <c r="N21" s="26"/>
      <c r="O21" s="26"/>
      <c r="P21" s="26"/>
      <c r="Q21" s="26"/>
      <c r="R21" s="26"/>
      <c r="S21" s="26"/>
      <c r="T21" s="26"/>
    </row>
    <row r="22" spans="2:20" ht="45" x14ac:dyDescent="0.3">
      <c r="B22" s="109"/>
      <c r="C22" s="101"/>
      <c r="D22" s="7" t="s">
        <v>154</v>
      </c>
      <c r="E22" s="7"/>
      <c r="F22" s="7">
        <v>1</v>
      </c>
      <c r="G22" s="26" t="s">
        <v>116</v>
      </c>
      <c r="H22" s="24" t="s">
        <v>84</v>
      </c>
      <c r="I22" s="7">
        <v>2</v>
      </c>
      <c r="J22" s="26"/>
      <c r="K22" s="26"/>
      <c r="L22" s="26"/>
      <c r="M22" s="26"/>
      <c r="N22" s="26"/>
      <c r="O22" s="26"/>
      <c r="P22" s="26"/>
      <c r="Q22" s="26"/>
      <c r="R22" s="26"/>
      <c r="S22" s="26"/>
      <c r="T22" s="26"/>
    </row>
    <row r="23" spans="2:20" ht="30" x14ac:dyDescent="0.3">
      <c r="B23" s="109"/>
      <c r="C23" s="101"/>
      <c r="D23" s="93" t="s">
        <v>155</v>
      </c>
      <c r="E23" s="7" t="s">
        <v>132</v>
      </c>
      <c r="F23" s="7">
        <v>1</v>
      </c>
      <c r="G23" s="26" t="s">
        <v>116</v>
      </c>
      <c r="H23" s="24" t="s">
        <v>84</v>
      </c>
      <c r="I23" s="7">
        <v>3</v>
      </c>
      <c r="J23" s="26"/>
      <c r="K23" s="26"/>
      <c r="L23" s="26"/>
      <c r="M23" s="26"/>
      <c r="N23" s="26"/>
      <c r="O23" s="26"/>
      <c r="P23" s="26"/>
      <c r="Q23" s="26"/>
      <c r="R23" s="26"/>
      <c r="S23" s="26"/>
      <c r="T23" s="26"/>
    </row>
    <row r="24" spans="2:20" ht="15.6" x14ac:dyDescent="0.3">
      <c r="B24" s="109"/>
      <c r="C24" s="101"/>
      <c r="D24" s="101"/>
      <c r="E24" s="7" t="s">
        <v>133</v>
      </c>
      <c r="F24" s="7">
        <v>1</v>
      </c>
      <c r="G24" s="26" t="s">
        <v>116</v>
      </c>
      <c r="H24" s="24" t="s">
        <v>84</v>
      </c>
      <c r="I24" s="7">
        <v>1</v>
      </c>
      <c r="J24" s="26"/>
      <c r="K24" s="26"/>
      <c r="L24" s="26"/>
      <c r="M24" s="26"/>
      <c r="N24" s="26"/>
      <c r="O24" s="26"/>
      <c r="P24" s="26"/>
      <c r="Q24" s="26"/>
      <c r="R24" s="26"/>
      <c r="S24" s="26"/>
      <c r="T24" s="26"/>
    </row>
    <row r="25" spans="2:20" ht="15.6" x14ac:dyDescent="0.3">
      <c r="B25" s="109"/>
      <c r="C25" s="101"/>
      <c r="D25" s="101"/>
      <c r="E25" s="7" t="s">
        <v>156</v>
      </c>
      <c r="F25" s="7">
        <v>1</v>
      </c>
      <c r="G25" s="26" t="s">
        <v>116</v>
      </c>
      <c r="H25" s="24" t="s">
        <v>84</v>
      </c>
      <c r="I25" s="7">
        <v>2</v>
      </c>
      <c r="J25" s="26"/>
      <c r="K25" s="26"/>
      <c r="L25" s="26"/>
      <c r="M25" s="26"/>
      <c r="N25" s="26"/>
      <c r="O25" s="26"/>
      <c r="P25" s="26"/>
      <c r="Q25" s="26"/>
      <c r="R25" s="26"/>
      <c r="S25" s="26"/>
      <c r="T25" s="26"/>
    </row>
    <row r="26" spans="2:20" ht="45" x14ac:dyDescent="0.3">
      <c r="B26" s="109"/>
      <c r="C26" s="101"/>
      <c r="D26" s="101"/>
      <c r="E26" s="7" t="s">
        <v>134</v>
      </c>
      <c r="F26" s="7">
        <v>1</v>
      </c>
      <c r="G26" s="26" t="s">
        <v>116</v>
      </c>
      <c r="H26" s="24" t="s">
        <v>84</v>
      </c>
      <c r="I26" s="7">
        <v>4</v>
      </c>
      <c r="J26" s="26"/>
      <c r="K26" s="26"/>
      <c r="L26" s="26"/>
      <c r="M26" s="26"/>
      <c r="N26" s="26"/>
      <c r="O26" s="26"/>
      <c r="P26" s="26"/>
      <c r="Q26" s="26"/>
      <c r="R26" s="26"/>
      <c r="S26" s="26"/>
      <c r="T26" s="26"/>
    </row>
    <row r="27" spans="2:20" ht="30" x14ac:dyDescent="0.3">
      <c r="B27" s="109"/>
      <c r="C27" s="101"/>
      <c r="D27" s="102"/>
      <c r="E27" s="7" t="s">
        <v>135</v>
      </c>
      <c r="F27" s="7">
        <v>1</v>
      </c>
      <c r="G27" s="26" t="s">
        <v>116</v>
      </c>
      <c r="H27" s="24" t="s">
        <v>84</v>
      </c>
      <c r="I27" s="7">
        <v>2</v>
      </c>
      <c r="J27" s="26"/>
      <c r="K27" s="26"/>
      <c r="L27" s="26"/>
      <c r="M27" s="26"/>
      <c r="N27" s="26"/>
      <c r="O27" s="26"/>
      <c r="P27" s="26"/>
      <c r="Q27" s="26"/>
      <c r="R27" s="26"/>
      <c r="S27" s="26"/>
      <c r="T27" s="26"/>
    </row>
    <row r="28" spans="2:20" ht="15.6" x14ac:dyDescent="0.3">
      <c r="B28" s="109"/>
      <c r="C28" s="93" t="s">
        <v>122</v>
      </c>
      <c r="D28" s="31" t="s">
        <v>123</v>
      </c>
      <c r="E28" s="7"/>
      <c r="F28" s="7">
        <v>1</v>
      </c>
      <c r="G28" s="26" t="s">
        <v>116</v>
      </c>
      <c r="H28" s="24" t="s">
        <v>84</v>
      </c>
      <c r="I28" s="7">
        <v>1</v>
      </c>
      <c r="J28" s="26"/>
      <c r="K28" s="26"/>
      <c r="L28" s="26"/>
      <c r="M28" s="26"/>
      <c r="N28" s="26"/>
      <c r="O28" s="26"/>
      <c r="P28" s="26"/>
      <c r="Q28" s="26"/>
      <c r="R28" s="26"/>
      <c r="S28" s="26"/>
      <c r="T28" s="26"/>
    </row>
    <row r="29" spans="2:20" ht="15.6" x14ac:dyDescent="0.3">
      <c r="B29" s="109"/>
      <c r="C29" s="101"/>
      <c r="D29" s="7" t="s">
        <v>124</v>
      </c>
      <c r="E29" s="7"/>
      <c r="F29" s="7">
        <v>1</v>
      </c>
      <c r="G29" s="26" t="s">
        <v>116</v>
      </c>
      <c r="H29" s="24" t="s">
        <v>84</v>
      </c>
      <c r="I29" s="7">
        <v>1</v>
      </c>
      <c r="J29" s="26"/>
      <c r="K29" s="26"/>
      <c r="L29" s="26"/>
      <c r="M29" s="26"/>
      <c r="N29" s="26"/>
      <c r="O29" s="26"/>
      <c r="P29" s="26"/>
      <c r="Q29" s="26"/>
      <c r="R29" s="26"/>
      <c r="S29" s="26"/>
      <c r="T29" s="26"/>
    </row>
    <row r="30" spans="2:20" ht="16.2" thickBot="1" x14ac:dyDescent="0.35">
      <c r="B30" s="109"/>
      <c r="C30" s="101"/>
      <c r="D30" s="31" t="s">
        <v>68</v>
      </c>
      <c r="E30" s="9"/>
      <c r="F30" s="9">
        <v>1</v>
      </c>
      <c r="G30" s="57" t="s">
        <v>116</v>
      </c>
      <c r="H30" s="58" t="s">
        <v>84</v>
      </c>
      <c r="I30" s="7">
        <v>1</v>
      </c>
      <c r="J30" s="57"/>
      <c r="K30" s="57"/>
      <c r="L30" s="57"/>
      <c r="M30" s="57"/>
      <c r="N30" s="57"/>
      <c r="O30" s="57"/>
      <c r="P30" s="57"/>
      <c r="Q30" s="57"/>
      <c r="R30" s="57"/>
      <c r="S30" s="57"/>
      <c r="T30" s="57"/>
    </row>
    <row r="31" spans="2:20" ht="15.6" thickBot="1" x14ac:dyDescent="0.35">
      <c r="B31" s="59"/>
      <c r="C31" s="60"/>
      <c r="D31" s="60"/>
      <c r="E31" s="60"/>
      <c r="F31" s="60"/>
      <c r="G31" s="60"/>
      <c r="H31" s="60"/>
      <c r="I31" s="60"/>
      <c r="J31" s="60"/>
      <c r="K31" s="60"/>
      <c r="L31" s="60"/>
      <c r="M31" s="60"/>
      <c r="N31" s="60"/>
      <c r="O31" s="60"/>
      <c r="P31" s="60"/>
      <c r="Q31" s="60"/>
      <c r="R31" s="60"/>
      <c r="S31" s="60"/>
      <c r="T31" s="61"/>
    </row>
    <row r="32" spans="2:20" ht="15.6" x14ac:dyDescent="0.3">
      <c r="B32" s="109" t="s">
        <v>136</v>
      </c>
      <c r="C32" s="101" t="s">
        <v>125</v>
      </c>
      <c r="D32" s="10" t="s">
        <v>161</v>
      </c>
      <c r="E32" s="10"/>
      <c r="F32" s="10">
        <v>1</v>
      </c>
      <c r="G32" s="26" t="s">
        <v>116</v>
      </c>
      <c r="H32" s="22" t="s">
        <v>84</v>
      </c>
      <c r="I32" s="10">
        <v>3</v>
      </c>
      <c r="J32" s="10"/>
      <c r="K32" s="10"/>
      <c r="L32" s="10"/>
      <c r="M32" s="10"/>
      <c r="N32" s="10"/>
      <c r="O32" s="10"/>
      <c r="P32" s="10"/>
      <c r="Q32" s="10"/>
      <c r="R32" s="10"/>
      <c r="S32" s="10"/>
      <c r="T32" s="23"/>
    </row>
    <row r="33" spans="2:20" ht="30" x14ac:dyDescent="0.3">
      <c r="B33" s="109"/>
      <c r="C33" s="101"/>
      <c r="D33" s="7" t="s">
        <v>126</v>
      </c>
      <c r="E33" s="7"/>
      <c r="F33" s="7">
        <v>1</v>
      </c>
      <c r="G33" s="26" t="s">
        <v>116</v>
      </c>
      <c r="H33" s="24" t="s">
        <v>84</v>
      </c>
      <c r="I33" s="7">
        <v>5</v>
      </c>
      <c r="J33" s="7"/>
      <c r="K33" s="7"/>
      <c r="L33" s="7"/>
      <c r="M33" s="7"/>
      <c r="N33" s="7"/>
      <c r="O33" s="7"/>
      <c r="P33" s="7"/>
      <c r="Q33" s="7"/>
      <c r="R33" s="7"/>
      <c r="S33" s="7"/>
      <c r="T33" s="25"/>
    </row>
    <row r="34" spans="2:20" ht="15.6" x14ac:dyDescent="0.3">
      <c r="B34" s="109"/>
      <c r="C34" s="101"/>
      <c r="D34" s="7" t="s">
        <v>130</v>
      </c>
      <c r="E34" s="7"/>
      <c r="F34" s="7">
        <v>1</v>
      </c>
      <c r="G34" s="26" t="s">
        <v>116</v>
      </c>
      <c r="H34" s="24" t="s">
        <v>84</v>
      </c>
      <c r="I34" s="7">
        <v>3</v>
      </c>
      <c r="J34" s="7"/>
      <c r="K34" s="7"/>
      <c r="L34" s="7"/>
      <c r="M34" s="7"/>
      <c r="N34" s="7"/>
      <c r="O34" s="7"/>
      <c r="P34" s="7"/>
      <c r="Q34" s="7"/>
      <c r="R34" s="7"/>
      <c r="S34" s="7"/>
      <c r="T34" s="25"/>
    </row>
    <row r="35" spans="2:20" ht="30.6" thickBot="1" x14ac:dyDescent="0.35">
      <c r="B35" s="110"/>
      <c r="C35" s="108"/>
      <c r="D35" s="45" t="s">
        <v>131</v>
      </c>
      <c r="E35" s="45"/>
      <c r="F35" s="45">
        <v>1</v>
      </c>
      <c r="G35" s="26" t="s">
        <v>116</v>
      </c>
      <c r="H35" s="32" t="s">
        <v>84</v>
      </c>
      <c r="I35" s="45">
        <v>3</v>
      </c>
      <c r="J35" s="45"/>
      <c r="K35" s="45"/>
      <c r="L35" s="45"/>
      <c r="M35" s="45"/>
      <c r="N35" s="45"/>
      <c r="O35" s="45"/>
      <c r="P35" s="45"/>
      <c r="Q35" s="45"/>
      <c r="R35" s="45"/>
      <c r="S35" s="45"/>
      <c r="T35" s="44"/>
    </row>
    <row r="36" spans="2:20" ht="21.6" thickBot="1" x14ac:dyDescent="0.35">
      <c r="B36" s="38" t="s">
        <v>13</v>
      </c>
      <c r="C36" s="33"/>
      <c r="D36" s="33"/>
      <c r="E36" s="33"/>
      <c r="F36" s="14">
        <f>SUM(F37:F61)</f>
        <v>24</v>
      </c>
      <c r="G36" s="33"/>
      <c r="H36" s="33"/>
      <c r="I36" s="33"/>
      <c r="J36" s="33"/>
      <c r="K36" s="33"/>
      <c r="L36" s="33"/>
      <c r="M36" s="33"/>
      <c r="N36" s="33"/>
      <c r="O36" s="33"/>
      <c r="P36" s="33"/>
      <c r="Q36" s="33"/>
      <c r="R36" s="33"/>
      <c r="S36" s="33"/>
      <c r="T36" s="34"/>
    </row>
    <row r="37" spans="2:20" ht="15.6" x14ac:dyDescent="0.3">
      <c r="B37" s="111" t="s">
        <v>53</v>
      </c>
      <c r="C37" s="93" t="s">
        <v>57</v>
      </c>
      <c r="D37" s="7" t="s">
        <v>137</v>
      </c>
      <c r="E37" s="7"/>
      <c r="F37" s="7">
        <v>1</v>
      </c>
      <c r="G37" s="26" t="s">
        <v>116</v>
      </c>
      <c r="H37" s="24" t="s">
        <v>84</v>
      </c>
      <c r="I37" s="7">
        <v>1</v>
      </c>
      <c r="J37" s="7"/>
      <c r="K37" s="7"/>
      <c r="L37" s="7"/>
      <c r="M37" s="7"/>
      <c r="N37" s="7"/>
      <c r="O37" s="7"/>
      <c r="P37" s="7"/>
      <c r="Q37" s="7"/>
      <c r="R37" s="7"/>
      <c r="S37" s="7"/>
      <c r="T37" s="25"/>
    </row>
    <row r="38" spans="2:20" ht="30" x14ac:dyDescent="0.3">
      <c r="B38" s="109"/>
      <c r="C38" s="101"/>
      <c r="D38" s="7" t="s">
        <v>152</v>
      </c>
      <c r="E38" s="7"/>
      <c r="F38" s="7">
        <v>1</v>
      </c>
      <c r="G38" s="26" t="s">
        <v>116</v>
      </c>
      <c r="H38" s="24" t="s">
        <v>84</v>
      </c>
      <c r="I38" s="7">
        <v>1</v>
      </c>
      <c r="J38" s="7"/>
      <c r="K38" s="7"/>
      <c r="L38" s="7"/>
      <c r="M38" s="7"/>
      <c r="N38" s="7"/>
      <c r="O38" s="7"/>
      <c r="P38" s="7"/>
      <c r="Q38" s="7"/>
      <c r="R38" s="7"/>
      <c r="S38" s="7"/>
      <c r="T38" s="25"/>
    </row>
    <row r="39" spans="2:20" ht="15.6" x14ac:dyDescent="0.3">
      <c r="B39" s="109"/>
      <c r="C39" s="101"/>
      <c r="D39" s="7" t="s">
        <v>151</v>
      </c>
      <c r="E39" s="7"/>
      <c r="F39" s="7">
        <v>1</v>
      </c>
      <c r="G39" s="26" t="s">
        <v>116</v>
      </c>
      <c r="H39" s="24" t="s">
        <v>84</v>
      </c>
      <c r="I39" s="7">
        <v>1</v>
      </c>
      <c r="J39" s="7"/>
      <c r="K39" s="7"/>
      <c r="L39" s="7"/>
      <c r="M39" s="7"/>
      <c r="N39" s="7"/>
      <c r="O39" s="7"/>
      <c r="P39" s="7"/>
      <c r="Q39" s="7"/>
      <c r="R39" s="7"/>
      <c r="S39" s="7"/>
      <c r="T39" s="25"/>
    </row>
    <row r="40" spans="2:20" ht="30" x14ac:dyDescent="0.3">
      <c r="B40" s="109"/>
      <c r="C40" s="101"/>
      <c r="D40" s="93" t="s">
        <v>145</v>
      </c>
      <c r="E40" s="7" t="s">
        <v>149</v>
      </c>
      <c r="F40" s="7">
        <v>1</v>
      </c>
      <c r="G40" s="26" t="s">
        <v>116</v>
      </c>
      <c r="H40" s="24" t="s">
        <v>84</v>
      </c>
      <c r="I40" s="7">
        <v>2</v>
      </c>
      <c r="J40" s="7"/>
      <c r="K40" s="7"/>
      <c r="L40" s="7"/>
      <c r="M40" s="7"/>
      <c r="N40" s="7"/>
      <c r="O40" s="7"/>
      <c r="P40" s="7"/>
      <c r="Q40" s="7"/>
      <c r="R40" s="7"/>
      <c r="S40" s="7"/>
      <c r="T40" s="25"/>
    </row>
    <row r="41" spans="2:20" ht="15.6" x14ac:dyDescent="0.3">
      <c r="B41" s="109"/>
      <c r="C41" s="101"/>
      <c r="D41" s="102"/>
      <c r="E41" s="31" t="s">
        <v>150</v>
      </c>
      <c r="F41" s="7">
        <v>1</v>
      </c>
      <c r="G41" s="26" t="s">
        <v>116</v>
      </c>
      <c r="H41" s="24" t="s">
        <v>84</v>
      </c>
      <c r="I41" s="7">
        <v>2</v>
      </c>
      <c r="J41" s="7"/>
      <c r="K41" s="7"/>
      <c r="L41" s="7"/>
      <c r="M41" s="7"/>
      <c r="N41" s="7"/>
      <c r="O41" s="7"/>
      <c r="P41" s="7"/>
      <c r="Q41" s="7"/>
      <c r="R41" s="7"/>
      <c r="S41" s="7"/>
      <c r="T41" s="25"/>
    </row>
    <row r="42" spans="2:20" ht="30" x14ac:dyDescent="0.3">
      <c r="B42" s="109"/>
      <c r="C42" s="101"/>
      <c r="D42" s="93" t="s">
        <v>146</v>
      </c>
      <c r="E42" s="7" t="s">
        <v>149</v>
      </c>
      <c r="F42" s="7">
        <v>1</v>
      </c>
      <c r="G42" s="26" t="s">
        <v>116</v>
      </c>
      <c r="H42" s="24" t="s">
        <v>84</v>
      </c>
      <c r="I42" s="7">
        <v>2</v>
      </c>
      <c r="J42" s="7"/>
      <c r="K42" s="7"/>
      <c r="L42" s="7"/>
      <c r="M42" s="7"/>
      <c r="N42" s="7"/>
      <c r="O42" s="7"/>
      <c r="P42" s="7"/>
      <c r="Q42" s="7"/>
      <c r="R42" s="7"/>
      <c r="S42" s="7"/>
      <c r="T42" s="25"/>
    </row>
    <row r="43" spans="2:20" ht="15.6" x14ac:dyDescent="0.3">
      <c r="B43" s="109"/>
      <c r="C43" s="101"/>
      <c r="D43" s="102"/>
      <c r="E43" s="31" t="s">
        <v>150</v>
      </c>
      <c r="F43" s="7">
        <v>1</v>
      </c>
      <c r="G43" s="26" t="s">
        <v>116</v>
      </c>
      <c r="H43" s="24" t="s">
        <v>84</v>
      </c>
      <c r="I43" s="7">
        <v>2</v>
      </c>
      <c r="J43" s="7"/>
      <c r="K43" s="7"/>
      <c r="L43" s="7"/>
      <c r="M43" s="7"/>
      <c r="N43" s="7"/>
      <c r="O43" s="7"/>
      <c r="P43" s="7"/>
      <c r="Q43" s="7"/>
      <c r="R43" s="7"/>
      <c r="S43" s="7"/>
      <c r="T43" s="25"/>
    </row>
    <row r="44" spans="2:20" ht="30" x14ac:dyDescent="0.3">
      <c r="B44" s="109"/>
      <c r="C44" s="16"/>
      <c r="D44" s="7" t="s">
        <v>157</v>
      </c>
      <c r="E44" s="31"/>
      <c r="F44" s="7">
        <v>1</v>
      </c>
      <c r="G44" s="26" t="s">
        <v>116</v>
      </c>
      <c r="H44" s="24" t="s">
        <v>84</v>
      </c>
      <c r="I44" s="7">
        <v>1</v>
      </c>
      <c r="J44" s="7"/>
      <c r="K44" s="7"/>
      <c r="L44" s="7"/>
      <c r="M44" s="7"/>
      <c r="N44" s="7"/>
      <c r="O44" s="7"/>
      <c r="P44" s="7"/>
      <c r="Q44" s="7"/>
      <c r="R44" s="7"/>
      <c r="S44" s="7"/>
      <c r="T44" s="25"/>
    </row>
    <row r="45" spans="2:20" ht="30" x14ac:dyDescent="0.3">
      <c r="B45" s="109"/>
      <c r="C45" s="93" t="s">
        <v>75</v>
      </c>
      <c r="D45" s="36" t="s">
        <v>153</v>
      </c>
      <c r="E45" s="7"/>
      <c r="F45" s="7">
        <v>1</v>
      </c>
      <c r="G45" s="26" t="s">
        <v>116</v>
      </c>
      <c r="H45" s="24" t="s">
        <v>84</v>
      </c>
      <c r="I45" s="7">
        <v>4</v>
      </c>
      <c r="J45" s="7"/>
      <c r="K45" s="7"/>
      <c r="L45" s="13"/>
      <c r="M45" s="7"/>
      <c r="N45" s="7"/>
      <c r="O45" s="7"/>
      <c r="P45" s="7"/>
      <c r="Q45" s="7"/>
      <c r="R45" s="7"/>
      <c r="S45" s="7"/>
      <c r="T45" s="25"/>
    </row>
    <row r="46" spans="2:20" ht="45" x14ac:dyDescent="0.3">
      <c r="B46" s="109"/>
      <c r="C46" s="101"/>
      <c r="D46" s="7" t="s">
        <v>154</v>
      </c>
      <c r="E46" s="7"/>
      <c r="F46" s="7">
        <v>1</v>
      </c>
      <c r="G46" s="26" t="s">
        <v>116</v>
      </c>
      <c r="H46" s="24" t="s">
        <v>84</v>
      </c>
      <c r="I46" s="7">
        <v>2</v>
      </c>
      <c r="J46" s="7"/>
      <c r="K46" s="7"/>
      <c r="L46" s="13"/>
      <c r="M46" s="7"/>
      <c r="N46" s="7"/>
      <c r="O46" s="7"/>
      <c r="P46" s="7"/>
      <c r="Q46" s="7"/>
      <c r="R46" s="7"/>
      <c r="S46" s="7"/>
      <c r="T46" s="25"/>
    </row>
    <row r="47" spans="2:20" ht="30" x14ac:dyDescent="0.3">
      <c r="B47" s="109"/>
      <c r="C47" s="101"/>
      <c r="D47" s="93" t="s">
        <v>155</v>
      </c>
      <c r="E47" s="7" t="s">
        <v>132</v>
      </c>
      <c r="F47" s="7">
        <v>1</v>
      </c>
      <c r="G47" s="26" t="s">
        <v>116</v>
      </c>
      <c r="H47" s="24" t="s">
        <v>84</v>
      </c>
      <c r="I47" s="7">
        <v>3</v>
      </c>
      <c r="J47" s="7"/>
      <c r="K47" s="7"/>
      <c r="L47" s="13"/>
      <c r="M47" s="7"/>
      <c r="N47" s="7"/>
      <c r="O47" s="7"/>
      <c r="P47" s="7"/>
      <c r="Q47" s="7"/>
      <c r="R47" s="7"/>
      <c r="S47" s="7"/>
      <c r="T47" s="25"/>
    </row>
    <row r="48" spans="2:20" ht="15.6" x14ac:dyDescent="0.3">
      <c r="B48" s="109"/>
      <c r="C48" s="101"/>
      <c r="D48" s="101"/>
      <c r="E48" s="7" t="s">
        <v>133</v>
      </c>
      <c r="F48" s="7">
        <v>1</v>
      </c>
      <c r="G48" s="26" t="s">
        <v>116</v>
      </c>
      <c r="H48" s="24" t="s">
        <v>84</v>
      </c>
      <c r="I48" s="7">
        <v>1</v>
      </c>
      <c r="J48" s="7"/>
      <c r="K48" s="7"/>
      <c r="L48" s="13"/>
      <c r="M48" s="7"/>
      <c r="N48" s="7"/>
      <c r="O48" s="7"/>
      <c r="P48" s="7"/>
      <c r="Q48" s="7"/>
      <c r="R48" s="7"/>
      <c r="S48" s="7"/>
      <c r="T48" s="25"/>
    </row>
    <row r="49" spans="2:20" ht="15.6" x14ac:dyDescent="0.3">
      <c r="B49" s="109"/>
      <c r="C49" s="101"/>
      <c r="D49" s="101"/>
      <c r="E49" s="7" t="s">
        <v>156</v>
      </c>
      <c r="F49" s="7">
        <v>1</v>
      </c>
      <c r="G49" s="26" t="s">
        <v>116</v>
      </c>
      <c r="H49" s="24" t="s">
        <v>84</v>
      </c>
      <c r="I49" s="7">
        <v>2</v>
      </c>
      <c r="J49" s="7"/>
      <c r="K49" s="7"/>
      <c r="L49" s="13"/>
      <c r="M49" s="7"/>
      <c r="N49" s="7"/>
      <c r="O49" s="7"/>
      <c r="P49" s="7"/>
      <c r="Q49" s="7"/>
      <c r="R49" s="7"/>
      <c r="S49" s="7"/>
      <c r="T49" s="25"/>
    </row>
    <row r="50" spans="2:20" ht="45" x14ac:dyDescent="0.3">
      <c r="B50" s="109"/>
      <c r="C50" s="101"/>
      <c r="D50" s="101"/>
      <c r="E50" s="7" t="s">
        <v>134</v>
      </c>
      <c r="F50" s="7">
        <v>1</v>
      </c>
      <c r="G50" s="26" t="s">
        <v>116</v>
      </c>
      <c r="H50" s="24" t="s">
        <v>84</v>
      </c>
      <c r="I50" s="7">
        <v>4</v>
      </c>
      <c r="J50" s="7"/>
      <c r="K50" s="7"/>
      <c r="L50" s="13"/>
      <c r="M50" s="7"/>
      <c r="N50" s="7"/>
      <c r="O50" s="7"/>
      <c r="P50" s="7"/>
      <c r="Q50" s="7"/>
      <c r="R50" s="7"/>
      <c r="S50" s="7"/>
      <c r="T50" s="25"/>
    </row>
    <row r="51" spans="2:20" ht="30" x14ac:dyDescent="0.3">
      <c r="B51" s="109"/>
      <c r="C51" s="101"/>
      <c r="D51" s="102"/>
      <c r="E51" s="7" t="s">
        <v>135</v>
      </c>
      <c r="F51" s="7">
        <v>1</v>
      </c>
      <c r="G51" s="26" t="s">
        <v>116</v>
      </c>
      <c r="H51" s="24" t="s">
        <v>84</v>
      </c>
      <c r="I51" s="7">
        <v>2</v>
      </c>
      <c r="J51" s="7"/>
      <c r="K51" s="7"/>
      <c r="L51" s="13"/>
      <c r="M51" s="7"/>
      <c r="N51" s="7"/>
      <c r="O51" s="7"/>
      <c r="P51" s="7"/>
      <c r="Q51" s="7"/>
      <c r="R51" s="7"/>
      <c r="S51" s="7"/>
      <c r="T51" s="25"/>
    </row>
    <row r="52" spans="2:20" ht="15.6" x14ac:dyDescent="0.3">
      <c r="B52" s="109"/>
      <c r="C52" s="93" t="s">
        <v>122</v>
      </c>
      <c r="D52" s="31" t="s">
        <v>123</v>
      </c>
      <c r="E52" s="7"/>
      <c r="F52" s="7">
        <v>1</v>
      </c>
      <c r="G52" s="26" t="s">
        <v>116</v>
      </c>
      <c r="H52" s="24" t="s">
        <v>84</v>
      </c>
      <c r="I52" s="7">
        <v>1</v>
      </c>
      <c r="J52" s="7"/>
      <c r="K52" s="7"/>
      <c r="L52" s="13"/>
      <c r="M52" s="7"/>
      <c r="N52" s="7"/>
      <c r="O52" s="7"/>
      <c r="P52" s="7"/>
      <c r="Q52" s="7"/>
      <c r="R52" s="7"/>
      <c r="S52" s="7"/>
      <c r="T52" s="25"/>
    </row>
    <row r="53" spans="2:20" ht="15.6" x14ac:dyDescent="0.3">
      <c r="B53" s="109"/>
      <c r="C53" s="101"/>
      <c r="D53" s="7" t="s">
        <v>124</v>
      </c>
      <c r="E53" s="7"/>
      <c r="F53" s="7">
        <v>1</v>
      </c>
      <c r="G53" s="26" t="s">
        <v>116</v>
      </c>
      <c r="H53" s="24" t="s">
        <v>84</v>
      </c>
      <c r="I53" s="7">
        <v>1</v>
      </c>
      <c r="J53" s="7"/>
      <c r="K53" s="7"/>
      <c r="L53" s="13"/>
      <c r="M53" s="7"/>
      <c r="N53" s="7"/>
      <c r="O53" s="7"/>
      <c r="P53" s="7"/>
      <c r="Q53" s="7"/>
      <c r="R53" s="7"/>
      <c r="S53" s="7"/>
      <c r="T53" s="25"/>
    </row>
    <row r="54" spans="2:20" ht="15.6" x14ac:dyDescent="0.3">
      <c r="B54" s="106"/>
      <c r="C54" s="102"/>
      <c r="D54" s="31" t="s">
        <v>68</v>
      </c>
      <c r="E54" s="7"/>
      <c r="F54" s="7">
        <v>1</v>
      </c>
      <c r="G54" s="26" t="s">
        <v>116</v>
      </c>
      <c r="H54" s="24" t="s">
        <v>84</v>
      </c>
      <c r="I54" s="7">
        <v>1</v>
      </c>
      <c r="J54" s="7"/>
      <c r="K54" s="7"/>
      <c r="L54" s="13"/>
      <c r="M54" s="7"/>
      <c r="N54" s="7"/>
      <c r="O54" s="7"/>
      <c r="P54" s="7"/>
      <c r="Q54" s="7"/>
      <c r="R54" s="7"/>
      <c r="S54" s="7"/>
      <c r="T54" s="25"/>
    </row>
    <row r="55" spans="2:20" ht="15.6" thickBot="1" x14ac:dyDescent="0.35">
      <c r="B55" s="27"/>
      <c r="C55" s="28"/>
      <c r="D55" s="28"/>
      <c r="E55" s="28"/>
      <c r="F55" s="28"/>
      <c r="G55" s="28"/>
      <c r="H55" s="28"/>
      <c r="I55" s="28"/>
      <c r="J55" s="28"/>
      <c r="K55" s="28"/>
      <c r="L55" s="28"/>
      <c r="M55" s="28"/>
      <c r="N55" s="28"/>
      <c r="O55" s="28"/>
      <c r="P55" s="28"/>
      <c r="Q55" s="28"/>
      <c r="R55" s="28"/>
      <c r="S55" s="28"/>
      <c r="T55" s="29"/>
    </row>
    <row r="56" spans="2:20" ht="15.6" x14ac:dyDescent="0.3">
      <c r="B56" s="109" t="s">
        <v>136</v>
      </c>
      <c r="C56" s="101" t="s">
        <v>138</v>
      </c>
      <c r="D56" s="7" t="s">
        <v>139</v>
      </c>
      <c r="E56" s="7"/>
      <c r="F56" s="7">
        <v>1</v>
      </c>
      <c r="G56" s="26" t="s">
        <v>116</v>
      </c>
      <c r="H56" s="24" t="s">
        <v>84</v>
      </c>
      <c r="I56" s="7">
        <v>5</v>
      </c>
      <c r="J56" s="7"/>
      <c r="K56" s="7"/>
      <c r="L56" s="7"/>
      <c r="M56" s="7"/>
      <c r="N56" s="7"/>
      <c r="O56" s="7"/>
      <c r="P56" s="7"/>
      <c r="Q56" s="7"/>
      <c r="R56" s="7"/>
      <c r="S56" s="7"/>
      <c r="T56" s="25"/>
    </row>
    <row r="57" spans="2:20" ht="30" x14ac:dyDescent="0.3">
      <c r="B57" s="109"/>
      <c r="C57" s="101"/>
      <c r="D57" s="93" t="s">
        <v>158</v>
      </c>
      <c r="E57" s="7" t="s">
        <v>132</v>
      </c>
      <c r="F57" s="7">
        <v>1</v>
      </c>
      <c r="G57" s="26" t="s">
        <v>116</v>
      </c>
      <c r="H57" s="24" t="s">
        <v>84</v>
      </c>
      <c r="I57" s="7">
        <v>3</v>
      </c>
      <c r="J57" s="7"/>
      <c r="K57" s="7"/>
      <c r="L57" s="7"/>
      <c r="M57" s="7"/>
      <c r="N57" s="7"/>
      <c r="O57" s="7"/>
      <c r="P57" s="7"/>
      <c r="Q57" s="7"/>
      <c r="R57" s="7"/>
      <c r="S57" s="7"/>
      <c r="T57" s="25"/>
    </row>
    <row r="58" spans="2:20" ht="15.6" x14ac:dyDescent="0.3">
      <c r="B58" s="109"/>
      <c r="C58" s="101"/>
      <c r="D58" s="101"/>
      <c r="E58" s="7" t="s">
        <v>133</v>
      </c>
      <c r="F58" s="7">
        <v>1</v>
      </c>
      <c r="G58" s="26" t="s">
        <v>116</v>
      </c>
      <c r="H58" s="24" t="s">
        <v>84</v>
      </c>
      <c r="I58" s="7">
        <v>1</v>
      </c>
      <c r="J58" s="7"/>
      <c r="K58" s="7"/>
      <c r="L58" s="7"/>
      <c r="M58" s="7"/>
      <c r="N58" s="7"/>
      <c r="O58" s="7"/>
      <c r="P58" s="7"/>
      <c r="Q58" s="7"/>
      <c r="R58" s="7"/>
      <c r="S58" s="7"/>
      <c r="T58" s="25"/>
    </row>
    <row r="59" spans="2:20" ht="30" x14ac:dyDescent="0.3">
      <c r="B59" s="109"/>
      <c r="C59" s="101"/>
      <c r="D59" s="101"/>
      <c r="E59" s="7" t="s">
        <v>162</v>
      </c>
      <c r="F59" s="7">
        <v>1</v>
      </c>
      <c r="G59" s="26" t="s">
        <v>116</v>
      </c>
      <c r="H59" s="24" t="s">
        <v>84</v>
      </c>
      <c r="I59" s="7">
        <v>2</v>
      </c>
      <c r="J59" s="7"/>
      <c r="K59" s="7"/>
      <c r="L59" s="7"/>
      <c r="M59" s="7"/>
      <c r="N59" s="7"/>
      <c r="O59" s="7"/>
      <c r="P59" s="7"/>
      <c r="Q59" s="7"/>
      <c r="R59" s="7"/>
      <c r="S59" s="7"/>
      <c r="T59" s="25"/>
    </row>
    <row r="60" spans="2:20" ht="30" x14ac:dyDescent="0.3">
      <c r="B60" s="109"/>
      <c r="C60" s="101"/>
      <c r="D60" s="102"/>
      <c r="E60" s="7" t="s">
        <v>135</v>
      </c>
      <c r="F60" s="7">
        <v>1</v>
      </c>
      <c r="G60" s="26" t="s">
        <v>116</v>
      </c>
      <c r="H60" s="24" t="s">
        <v>84</v>
      </c>
      <c r="I60" s="7">
        <v>2</v>
      </c>
      <c r="J60" s="7"/>
      <c r="K60" s="7"/>
      <c r="L60" s="7"/>
      <c r="M60" s="7"/>
      <c r="N60" s="7"/>
      <c r="O60" s="7"/>
      <c r="P60" s="7"/>
      <c r="Q60" s="7"/>
      <c r="R60" s="7"/>
      <c r="S60" s="7"/>
      <c r="T60" s="25"/>
    </row>
    <row r="61" spans="2:20" ht="30.6" thickBot="1" x14ac:dyDescent="0.35">
      <c r="B61" s="110"/>
      <c r="C61" s="108"/>
      <c r="D61" s="45" t="s">
        <v>159</v>
      </c>
      <c r="E61" s="45"/>
      <c r="F61" s="45">
        <v>1</v>
      </c>
      <c r="G61" s="26" t="s">
        <v>116</v>
      </c>
      <c r="H61" s="32" t="s">
        <v>84</v>
      </c>
      <c r="I61" s="45">
        <v>3</v>
      </c>
      <c r="J61" s="45"/>
      <c r="K61" s="45"/>
      <c r="L61" s="45"/>
      <c r="M61" s="45"/>
      <c r="N61" s="45"/>
      <c r="O61" s="45"/>
      <c r="P61" s="45"/>
      <c r="Q61" s="45"/>
      <c r="R61" s="45"/>
      <c r="S61" s="45"/>
      <c r="T61" s="44"/>
    </row>
    <row r="62" spans="2:20" ht="15" thickBot="1" x14ac:dyDescent="0.35"/>
    <row r="63" spans="2:20" ht="16.2" thickBot="1" x14ac:dyDescent="0.35">
      <c r="C63" s="3" t="s">
        <v>55</v>
      </c>
      <c r="D63" s="3"/>
      <c r="E63" s="11"/>
      <c r="F63" s="12">
        <f>SUM(F7,F36)</f>
        <v>51</v>
      </c>
      <c r="G63" s="4"/>
      <c r="H63" s="62" t="s">
        <v>293</v>
      </c>
      <c r="I63" s="63">
        <f>SUM(I8:I61)</f>
        <v>107</v>
      </c>
    </row>
    <row r="64" spans="2:20" ht="16.2" thickBot="1" x14ac:dyDescent="0.35">
      <c r="C64" s="4"/>
      <c r="D64" s="4"/>
      <c r="E64" s="4"/>
      <c r="F64" s="4"/>
      <c r="G64" s="4"/>
      <c r="H64" s="64" t="s">
        <v>294</v>
      </c>
      <c r="I64" s="65">
        <f>I63/8</f>
        <v>13.375</v>
      </c>
    </row>
  </sheetData>
  <mergeCells count="25">
    <mergeCell ref="B3:T3"/>
    <mergeCell ref="C6:E6"/>
    <mergeCell ref="C4:K4"/>
    <mergeCell ref="B32:B35"/>
    <mergeCell ref="B37:B54"/>
    <mergeCell ref="C52:C54"/>
    <mergeCell ref="D40:D41"/>
    <mergeCell ref="D23:D27"/>
    <mergeCell ref="C8:C20"/>
    <mergeCell ref="D42:D43"/>
    <mergeCell ref="B56:B61"/>
    <mergeCell ref="C28:C30"/>
    <mergeCell ref="C32:C35"/>
    <mergeCell ref="B8:B30"/>
    <mergeCell ref="D11:D12"/>
    <mergeCell ref="D13:D14"/>
    <mergeCell ref="D15:D16"/>
    <mergeCell ref="D17:D18"/>
    <mergeCell ref="D19:D20"/>
    <mergeCell ref="C37:C43"/>
    <mergeCell ref="C21:C27"/>
    <mergeCell ref="C45:C51"/>
    <mergeCell ref="D47:D51"/>
    <mergeCell ref="D57:D60"/>
    <mergeCell ref="C56:C6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4CC4A-3E47-4499-AE9B-F045FEABEFC8}">
  <dimension ref="B2:U51"/>
  <sheetViews>
    <sheetView topLeftCell="A8" zoomScaleNormal="100" workbookViewId="0">
      <selection activeCell="G20" sqref="G20"/>
    </sheetView>
  </sheetViews>
  <sheetFormatPr baseColWidth="10" defaultRowHeight="14.4" x14ac:dyDescent="0.3"/>
  <cols>
    <col min="2" max="2" width="14.88671875" bestFit="1" customWidth="1"/>
    <col min="3" max="3" width="27.21875" bestFit="1" customWidth="1"/>
    <col min="4" max="4" width="20.21875" bestFit="1" customWidth="1"/>
    <col min="5" max="5" width="19.6640625" customWidth="1"/>
    <col min="6" max="6" width="12.44140625" bestFit="1" customWidth="1"/>
    <col min="7" max="8" width="14.88671875" bestFit="1" customWidth="1"/>
    <col min="9" max="9" width="11.21875" bestFit="1" customWidth="1"/>
    <col min="10" max="10" width="6.88671875" bestFit="1" customWidth="1"/>
    <col min="11" max="18" width="6.44140625" bestFit="1" customWidth="1"/>
    <col min="19" max="19" width="7.77734375" bestFit="1" customWidth="1"/>
    <col min="20" max="20" width="14.44140625" bestFit="1" customWidth="1"/>
  </cols>
  <sheetData>
    <row r="2" spans="2:21" x14ac:dyDescent="0.3">
      <c r="B2" s="4"/>
      <c r="C2" s="4"/>
      <c r="D2" s="4"/>
      <c r="E2" s="4"/>
      <c r="F2" s="4"/>
      <c r="G2" s="4"/>
      <c r="H2" s="4"/>
      <c r="I2" s="4"/>
      <c r="J2" s="4"/>
      <c r="K2" s="4"/>
      <c r="L2" s="4"/>
      <c r="M2" s="4"/>
      <c r="N2" s="4"/>
      <c r="O2" s="4"/>
      <c r="P2" s="4"/>
      <c r="Q2" s="4"/>
      <c r="R2" s="4"/>
      <c r="S2" s="4"/>
      <c r="T2" s="4"/>
    </row>
    <row r="3" spans="2:21" ht="21" x14ac:dyDescent="0.3">
      <c r="B3" s="103" t="s">
        <v>350</v>
      </c>
      <c r="C3" s="103"/>
      <c r="D3" s="103"/>
      <c r="E3" s="103"/>
      <c r="F3" s="103"/>
      <c r="G3" s="103"/>
      <c r="H3" s="103"/>
      <c r="I3" s="103"/>
      <c r="J3" s="103"/>
      <c r="K3" s="103"/>
      <c r="L3" s="103"/>
      <c r="M3" s="103"/>
      <c r="N3" s="103"/>
      <c r="O3" s="103"/>
      <c r="P3" s="103"/>
      <c r="Q3" s="103"/>
      <c r="R3" s="103"/>
      <c r="S3" s="103"/>
      <c r="T3" s="103"/>
    </row>
    <row r="4" spans="2:21" ht="21" x14ac:dyDescent="0.3">
      <c r="B4" s="5" t="s">
        <v>35</v>
      </c>
      <c r="C4" s="104" t="s">
        <v>351</v>
      </c>
      <c r="D4" s="105"/>
      <c r="E4" s="105"/>
      <c r="F4" s="105"/>
      <c r="G4" s="105"/>
      <c r="H4" s="105"/>
      <c r="I4" s="105"/>
      <c r="J4" s="105"/>
      <c r="K4" s="105"/>
      <c r="L4" s="4"/>
      <c r="M4" s="4"/>
      <c r="N4" s="4"/>
      <c r="O4" s="4"/>
      <c r="P4" s="4"/>
      <c r="Q4" s="4"/>
      <c r="R4" s="4"/>
      <c r="S4" s="4"/>
      <c r="T4" s="4"/>
    </row>
    <row r="5" spans="2:21" ht="15" thickBot="1" x14ac:dyDescent="0.35">
      <c r="B5" s="4"/>
      <c r="C5" s="4"/>
      <c r="D5" s="4"/>
      <c r="E5" s="4"/>
      <c r="F5" s="4"/>
      <c r="G5" s="4"/>
      <c r="H5" s="4"/>
      <c r="I5" s="4"/>
      <c r="J5" s="4"/>
      <c r="K5" s="4"/>
      <c r="L5" s="4"/>
      <c r="M5" s="4"/>
      <c r="N5" s="4"/>
      <c r="O5" s="4"/>
      <c r="P5" s="4"/>
      <c r="Q5" s="4"/>
      <c r="R5" s="4"/>
      <c r="S5" s="4"/>
      <c r="T5" s="4"/>
    </row>
    <row r="6" spans="2:21" ht="54.6" thickBot="1" x14ac:dyDescent="0.35">
      <c r="B6" s="40" t="s">
        <v>36</v>
      </c>
      <c r="C6" s="97" t="s">
        <v>21</v>
      </c>
      <c r="D6" s="98"/>
      <c r="E6" s="99"/>
      <c r="F6" s="42" t="s">
        <v>37</v>
      </c>
      <c r="G6" s="41" t="s">
        <v>38</v>
      </c>
      <c r="H6" s="42" t="s">
        <v>3</v>
      </c>
      <c r="I6" s="42" t="s">
        <v>39</v>
      </c>
      <c r="J6" s="42" t="s">
        <v>40</v>
      </c>
      <c r="K6" s="42" t="s">
        <v>41</v>
      </c>
      <c r="L6" s="42" t="s">
        <v>42</v>
      </c>
      <c r="M6" s="42" t="s">
        <v>43</v>
      </c>
      <c r="N6" s="42" t="s">
        <v>44</v>
      </c>
      <c r="O6" s="42" t="s">
        <v>45</v>
      </c>
      <c r="P6" s="42" t="s">
        <v>46</v>
      </c>
      <c r="Q6" s="42" t="s">
        <v>47</v>
      </c>
      <c r="R6" s="42" t="s">
        <v>48</v>
      </c>
      <c r="S6" s="42" t="s">
        <v>49</v>
      </c>
      <c r="T6" s="42" t="s">
        <v>50</v>
      </c>
    </row>
    <row r="7" spans="2:21" ht="21.6" thickBot="1" x14ac:dyDescent="0.35">
      <c r="B7" s="38" t="s">
        <v>14</v>
      </c>
      <c r="C7" s="33"/>
      <c r="D7" s="33"/>
      <c r="E7" s="33"/>
      <c r="F7" s="33"/>
      <c r="G7" s="33">
        <f>SUM(G8:G47)</f>
        <v>39</v>
      </c>
      <c r="H7" s="35"/>
      <c r="I7" s="35"/>
      <c r="J7" s="35"/>
      <c r="K7" s="35"/>
      <c r="L7" s="35"/>
      <c r="M7" s="35"/>
      <c r="N7" s="33"/>
      <c r="O7" s="33"/>
      <c r="P7" s="33"/>
      <c r="Q7" s="33"/>
      <c r="R7" s="33"/>
      <c r="S7" s="33"/>
      <c r="T7" s="33"/>
      <c r="U7" s="34"/>
    </row>
    <row r="8" spans="2:21" ht="15.6" x14ac:dyDescent="0.3">
      <c r="B8" s="100" t="s">
        <v>120</v>
      </c>
      <c r="C8" s="7" t="s">
        <v>292</v>
      </c>
      <c r="D8" s="56"/>
      <c r="E8" s="7"/>
      <c r="F8" s="7"/>
      <c r="G8" s="7">
        <v>1</v>
      </c>
      <c r="H8" s="26" t="s">
        <v>116</v>
      </c>
      <c r="I8" s="47" t="s">
        <v>84</v>
      </c>
      <c r="J8" s="7">
        <v>5</v>
      </c>
      <c r="K8" s="7"/>
      <c r="L8" s="7"/>
      <c r="M8" s="7"/>
      <c r="N8" s="8"/>
      <c r="O8" s="8"/>
      <c r="P8" s="8"/>
      <c r="Q8" s="8"/>
      <c r="R8" s="8"/>
      <c r="S8" s="8"/>
      <c r="T8" s="8"/>
      <c r="U8" s="49"/>
    </row>
    <row r="9" spans="2:21" ht="15" x14ac:dyDescent="0.3">
      <c r="B9" s="101"/>
      <c r="C9" s="7" t="s">
        <v>291</v>
      </c>
      <c r="D9" s="7"/>
      <c r="E9" s="7"/>
      <c r="F9" s="7"/>
      <c r="G9" s="7">
        <v>1</v>
      </c>
      <c r="H9" s="26" t="s">
        <v>116</v>
      </c>
      <c r="I9" s="47" t="s">
        <v>84</v>
      </c>
      <c r="J9" s="7">
        <v>1</v>
      </c>
      <c r="K9" s="7"/>
      <c r="L9" s="7"/>
      <c r="M9" s="7"/>
      <c r="N9" s="10"/>
      <c r="O9" s="10"/>
      <c r="P9" s="10"/>
      <c r="Q9" s="10"/>
      <c r="R9" s="10"/>
      <c r="S9" s="10"/>
      <c r="T9" s="10"/>
      <c r="U9" s="23"/>
    </row>
    <row r="10" spans="2:21" ht="15" x14ac:dyDescent="0.3">
      <c r="B10" s="101"/>
      <c r="C10" s="7" t="s">
        <v>96</v>
      </c>
      <c r="D10" s="7"/>
      <c r="E10" s="7"/>
      <c r="F10" s="7"/>
      <c r="G10" s="7">
        <v>1</v>
      </c>
      <c r="H10" s="26" t="s">
        <v>116</v>
      </c>
      <c r="I10" s="47" t="s">
        <v>84</v>
      </c>
      <c r="J10" s="7">
        <v>2</v>
      </c>
      <c r="K10" s="7"/>
      <c r="L10" s="7"/>
      <c r="M10" s="7"/>
      <c r="N10" s="10"/>
      <c r="O10" s="10"/>
      <c r="P10" s="10"/>
      <c r="Q10" s="10"/>
      <c r="R10" s="10"/>
      <c r="S10" s="10"/>
      <c r="T10" s="10"/>
      <c r="U10" s="23"/>
    </row>
    <row r="11" spans="2:21" ht="15.6" x14ac:dyDescent="0.3">
      <c r="B11" s="101"/>
      <c r="C11" s="55" t="s">
        <v>290</v>
      </c>
      <c r="D11" s="7"/>
      <c r="E11" s="7"/>
      <c r="F11" s="7"/>
      <c r="G11" s="7">
        <v>1</v>
      </c>
      <c r="H11" s="26" t="s">
        <v>116</v>
      </c>
      <c r="I11" s="47" t="s">
        <v>84</v>
      </c>
      <c r="J11" s="7">
        <v>3</v>
      </c>
      <c r="K11" s="7"/>
      <c r="L11" s="7"/>
      <c r="M11" s="52"/>
      <c r="N11" s="7"/>
      <c r="O11" s="7"/>
      <c r="P11" s="7"/>
      <c r="Q11" s="7"/>
      <c r="R11" s="7"/>
      <c r="S11" s="7"/>
      <c r="T11" s="7"/>
      <c r="U11" s="25"/>
    </row>
    <row r="12" spans="2:21" ht="30" x14ac:dyDescent="0.3">
      <c r="B12" s="102"/>
      <c r="C12" s="7" t="s">
        <v>179</v>
      </c>
      <c r="D12" s="7"/>
      <c r="E12" s="7"/>
      <c r="F12" s="7"/>
      <c r="G12" s="7">
        <v>1</v>
      </c>
      <c r="H12" s="26" t="s">
        <v>116</v>
      </c>
      <c r="I12" s="47" t="s">
        <v>84</v>
      </c>
      <c r="J12" s="7">
        <v>3</v>
      </c>
      <c r="K12" s="7"/>
      <c r="L12" s="7"/>
      <c r="M12" s="7"/>
      <c r="N12" s="7"/>
      <c r="O12" s="7"/>
      <c r="P12" s="7"/>
      <c r="Q12" s="7"/>
      <c r="R12" s="7"/>
      <c r="S12" s="7"/>
      <c r="T12" s="7"/>
      <c r="U12" s="25"/>
    </row>
    <row r="13" spans="2:21" ht="15.6" thickBot="1" x14ac:dyDescent="0.35">
      <c r="B13" s="27"/>
      <c r="C13" s="28"/>
      <c r="D13" s="28"/>
      <c r="E13" s="28"/>
      <c r="F13" s="28"/>
      <c r="G13" s="28"/>
      <c r="H13" s="28"/>
      <c r="I13" s="28"/>
      <c r="J13" s="28"/>
      <c r="K13" s="28"/>
      <c r="L13" s="28"/>
      <c r="M13" s="28"/>
      <c r="N13" s="28"/>
      <c r="O13" s="28"/>
      <c r="P13" s="28"/>
      <c r="Q13" s="28"/>
      <c r="R13" s="28"/>
      <c r="S13" s="28"/>
      <c r="T13" s="28"/>
      <c r="U13" s="29"/>
    </row>
    <row r="14" spans="2:21" ht="15.6" x14ac:dyDescent="0.3">
      <c r="B14" s="100" t="s">
        <v>160</v>
      </c>
      <c r="C14" s="100" t="s">
        <v>289</v>
      </c>
      <c r="D14" s="55" t="s">
        <v>180</v>
      </c>
      <c r="E14" s="7"/>
      <c r="F14" s="7"/>
      <c r="G14" s="7">
        <v>1</v>
      </c>
      <c r="H14" s="26" t="s">
        <v>116</v>
      </c>
      <c r="I14" s="47" t="s">
        <v>84</v>
      </c>
      <c r="J14" s="7">
        <v>1</v>
      </c>
      <c r="K14" s="7"/>
      <c r="L14" s="7"/>
      <c r="M14" s="7"/>
      <c r="N14" s="7"/>
      <c r="O14" s="7"/>
      <c r="P14" s="7"/>
      <c r="Q14" s="7"/>
      <c r="R14" s="7"/>
      <c r="S14" s="7"/>
      <c r="T14" s="7"/>
      <c r="U14" s="25"/>
    </row>
    <row r="15" spans="2:21" ht="15" x14ac:dyDescent="0.3">
      <c r="B15" s="101"/>
      <c r="C15" s="101"/>
      <c r="D15" s="7" t="s">
        <v>181</v>
      </c>
      <c r="E15" s="7"/>
      <c r="F15" s="7"/>
      <c r="G15" s="7">
        <v>1</v>
      </c>
      <c r="H15" s="26" t="s">
        <v>116</v>
      </c>
      <c r="I15" s="47" t="s">
        <v>84</v>
      </c>
      <c r="J15" s="7">
        <v>1</v>
      </c>
      <c r="K15" s="7"/>
      <c r="L15" s="7"/>
      <c r="M15" s="7"/>
      <c r="N15" s="7"/>
      <c r="O15" s="7"/>
      <c r="P15" s="7"/>
      <c r="Q15" s="7"/>
      <c r="R15" s="7"/>
      <c r="S15" s="7"/>
      <c r="T15" s="7"/>
      <c r="U15" s="25"/>
    </row>
    <row r="16" spans="2:21" ht="30" x14ac:dyDescent="0.3">
      <c r="B16" s="101"/>
      <c r="C16" s="101"/>
      <c r="D16" s="7" t="s">
        <v>185</v>
      </c>
      <c r="E16" s="7"/>
      <c r="F16" s="7"/>
      <c r="G16" s="7">
        <v>1</v>
      </c>
      <c r="H16" s="26" t="s">
        <v>116</v>
      </c>
      <c r="I16" s="47" t="s">
        <v>84</v>
      </c>
      <c r="J16" s="7">
        <v>1</v>
      </c>
      <c r="K16" s="7"/>
      <c r="L16" s="7"/>
      <c r="M16" s="7"/>
      <c r="N16" s="7"/>
      <c r="O16" s="7"/>
      <c r="P16" s="7"/>
      <c r="Q16" s="7"/>
      <c r="R16" s="7"/>
      <c r="S16" s="7"/>
      <c r="T16" s="7"/>
      <c r="U16" s="25"/>
    </row>
    <row r="17" spans="2:21" ht="45" x14ac:dyDescent="0.3">
      <c r="B17" s="101"/>
      <c r="C17" s="102"/>
      <c r="D17" s="7" t="s">
        <v>182</v>
      </c>
      <c r="E17" s="7" t="s">
        <v>288</v>
      </c>
      <c r="F17" s="7"/>
      <c r="G17" s="7">
        <v>1</v>
      </c>
      <c r="H17" s="26" t="s">
        <v>116</v>
      </c>
      <c r="I17" s="47" t="s">
        <v>84</v>
      </c>
      <c r="J17" s="7">
        <v>1</v>
      </c>
      <c r="K17" s="7"/>
      <c r="L17" s="7"/>
      <c r="M17" s="7"/>
      <c r="N17" s="7"/>
      <c r="O17" s="7"/>
      <c r="P17" s="7"/>
      <c r="Q17" s="7"/>
      <c r="R17" s="7"/>
      <c r="S17" s="7"/>
      <c r="T17" s="7"/>
      <c r="U17" s="25"/>
    </row>
    <row r="18" spans="2:21" ht="15" x14ac:dyDescent="0.3">
      <c r="B18" s="101"/>
      <c r="C18" s="93" t="s">
        <v>172</v>
      </c>
      <c r="D18" s="93" t="s">
        <v>287</v>
      </c>
      <c r="E18" s="7" t="s">
        <v>286</v>
      </c>
      <c r="F18" s="7"/>
      <c r="G18" s="7">
        <v>1</v>
      </c>
      <c r="H18" s="26" t="s">
        <v>116</v>
      </c>
      <c r="I18" s="47" t="s">
        <v>84</v>
      </c>
      <c r="J18" s="7">
        <v>1</v>
      </c>
      <c r="K18" s="7"/>
      <c r="L18" s="7"/>
      <c r="M18" s="7"/>
      <c r="N18" s="7"/>
      <c r="O18" s="7"/>
      <c r="P18" s="7"/>
      <c r="Q18" s="7"/>
      <c r="R18" s="7"/>
      <c r="S18" s="7"/>
      <c r="T18" s="7"/>
      <c r="U18" s="25"/>
    </row>
    <row r="19" spans="2:21" ht="15" x14ac:dyDescent="0.3">
      <c r="B19" s="101"/>
      <c r="C19" s="101"/>
      <c r="D19" s="101"/>
      <c r="E19" s="7" t="s">
        <v>280</v>
      </c>
      <c r="F19" s="7"/>
      <c r="G19" s="7">
        <v>1</v>
      </c>
      <c r="H19" s="26" t="s">
        <v>116</v>
      </c>
      <c r="I19" s="47" t="s">
        <v>84</v>
      </c>
      <c r="J19" s="7">
        <v>1</v>
      </c>
      <c r="K19" s="7"/>
      <c r="L19" s="7"/>
      <c r="M19" s="7"/>
      <c r="N19" s="7"/>
      <c r="O19" s="7"/>
      <c r="P19" s="7"/>
      <c r="Q19" s="7"/>
      <c r="R19" s="7"/>
      <c r="S19" s="7"/>
      <c r="T19" s="7"/>
      <c r="U19" s="25"/>
    </row>
    <row r="20" spans="2:21" ht="60" x14ac:dyDescent="0.3">
      <c r="B20" s="101"/>
      <c r="C20" s="101"/>
      <c r="D20" s="101"/>
      <c r="E20" s="7" t="s">
        <v>183</v>
      </c>
      <c r="F20" s="7" t="s">
        <v>279</v>
      </c>
      <c r="G20" s="7">
        <v>1</v>
      </c>
      <c r="H20" s="26" t="s">
        <v>116</v>
      </c>
      <c r="I20" s="47" t="s">
        <v>84</v>
      </c>
      <c r="J20" s="7">
        <v>1</v>
      </c>
      <c r="K20" s="7"/>
      <c r="L20" s="7"/>
      <c r="M20" s="7"/>
      <c r="N20" s="7"/>
      <c r="O20" s="7"/>
      <c r="P20" s="7"/>
      <c r="Q20" s="7"/>
      <c r="R20" s="7"/>
      <c r="S20" s="7"/>
      <c r="T20" s="7"/>
      <c r="U20" s="25"/>
    </row>
    <row r="21" spans="2:21" ht="15" x14ac:dyDescent="0.3">
      <c r="B21" s="101"/>
      <c r="C21" s="101"/>
      <c r="D21" s="101"/>
      <c r="E21" s="7" t="s">
        <v>68</v>
      </c>
      <c r="F21" s="7"/>
      <c r="G21" s="7">
        <v>1</v>
      </c>
      <c r="H21" s="26" t="s">
        <v>116</v>
      </c>
      <c r="I21" s="47" t="s">
        <v>84</v>
      </c>
      <c r="J21" s="7">
        <v>1</v>
      </c>
      <c r="K21" s="7"/>
      <c r="L21" s="7"/>
      <c r="M21" s="7"/>
      <c r="N21" s="7"/>
      <c r="O21" s="7"/>
      <c r="P21" s="7"/>
      <c r="Q21" s="7"/>
      <c r="R21" s="7"/>
      <c r="S21" s="7"/>
      <c r="T21" s="7"/>
      <c r="U21" s="25"/>
    </row>
    <row r="22" spans="2:21" ht="30" x14ac:dyDescent="0.3">
      <c r="B22" s="101"/>
      <c r="C22" s="101"/>
      <c r="D22" s="101"/>
      <c r="E22" s="7" t="s">
        <v>184</v>
      </c>
      <c r="F22" s="7"/>
      <c r="G22" s="7">
        <v>1</v>
      </c>
      <c r="H22" s="26" t="s">
        <v>116</v>
      </c>
      <c r="I22" s="47" t="s">
        <v>84</v>
      </c>
      <c r="J22" s="7">
        <v>1</v>
      </c>
      <c r="K22" s="7"/>
      <c r="L22" s="7"/>
      <c r="M22" s="7"/>
      <c r="N22" s="7"/>
      <c r="O22" s="7"/>
      <c r="P22" s="7"/>
      <c r="Q22" s="7"/>
      <c r="R22" s="7"/>
      <c r="S22" s="7"/>
      <c r="T22" s="7"/>
      <c r="U22" s="25"/>
    </row>
    <row r="23" spans="2:21" ht="45" x14ac:dyDescent="0.3">
      <c r="B23" s="101"/>
      <c r="C23" s="101"/>
      <c r="D23" s="102"/>
      <c r="E23" s="7" t="s">
        <v>278</v>
      </c>
      <c r="F23" s="7"/>
      <c r="G23" s="7">
        <v>1</v>
      </c>
      <c r="H23" s="26" t="s">
        <v>116</v>
      </c>
      <c r="I23" s="47" t="s">
        <v>84</v>
      </c>
      <c r="J23" s="7">
        <v>1</v>
      </c>
      <c r="K23" s="7"/>
      <c r="L23" s="7"/>
      <c r="M23" s="7"/>
      <c r="N23" s="7"/>
      <c r="O23" s="7"/>
      <c r="P23" s="7"/>
      <c r="Q23" s="7"/>
      <c r="R23" s="7"/>
      <c r="S23" s="7"/>
      <c r="T23" s="7"/>
      <c r="U23" s="25"/>
    </row>
    <row r="24" spans="2:21" ht="15" x14ac:dyDescent="0.3">
      <c r="B24" s="101"/>
      <c r="C24" s="101"/>
      <c r="D24" s="93" t="s">
        <v>285</v>
      </c>
      <c r="E24" s="7" t="s">
        <v>281</v>
      </c>
      <c r="F24" s="7"/>
      <c r="G24" s="7">
        <v>1</v>
      </c>
      <c r="H24" s="26" t="s">
        <v>116</v>
      </c>
      <c r="I24" s="47" t="s">
        <v>84</v>
      </c>
      <c r="J24" s="7">
        <v>1</v>
      </c>
      <c r="K24" s="7"/>
      <c r="L24" s="7"/>
      <c r="M24" s="7"/>
      <c r="N24" s="7"/>
      <c r="O24" s="7"/>
      <c r="P24" s="7"/>
      <c r="Q24" s="7"/>
      <c r="R24" s="7"/>
      <c r="S24" s="7"/>
      <c r="T24" s="7"/>
      <c r="U24" s="25"/>
    </row>
    <row r="25" spans="2:21" ht="15" x14ac:dyDescent="0.3">
      <c r="B25" s="101"/>
      <c r="C25" s="101"/>
      <c r="D25" s="101"/>
      <c r="E25" s="7" t="s">
        <v>280</v>
      </c>
      <c r="F25" s="7"/>
      <c r="G25" s="7">
        <v>1</v>
      </c>
      <c r="H25" s="26" t="s">
        <v>116</v>
      </c>
      <c r="I25" s="47" t="s">
        <v>84</v>
      </c>
      <c r="J25" s="7">
        <v>1</v>
      </c>
      <c r="K25" s="7"/>
      <c r="L25" s="7"/>
      <c r="M25" s="7"/>
      <c r="N25" s="7"/>
      <c r="O25" s="7"/>
      <c r="P25" s="7"/>
      <c r="Q25" s="7"/>
      <c r="R25" s="7"/>
      <c r="S25" s="7"/>
      <c r="T25" s="7"/>
      <c r="U25" s="25"/>
    </row>
    <row r="26" spans="2:21" ht="60" x14ac:dyDescent="0.3">
      <c r="B26" s="101"/>
      <c r="C26" s="101"/>
      <c r="D26" s="101"/>
      <c r="E26" s="7" t="s">
        <v>183</v>
      </c>
      <c r="F26" s="7" t="s">
        <v>279</v>
      </c>
      <c r="G26" s="7">
        <v>1</v>
      </c>
      <c r="H26" s="26" t="s">
        <v>116</v>
      </c>
      <c r="I26" s="47" t="s">
        <v>84</v>
      </c>
      <c r="J26" s="7">
        <v>1</v>
      </c>
      <c r="K26" s="7"/>
      <c r="L26" s="7"/>
      <c r="M26" s="7"/>
      <c r="N26" s="7"/>
      <c r="O26" s="7"/>
      <c r="P26" s="7"/>
      <c r="Q26" s="7"/>
      <c r="R26" s="7"/>
      <c r="S26" s="7"/>
      <c r="T26" s="7"/>
      <c r="U26" s="25"/>
    </row>
    <row r="27" spans="2:21" ht="15" x14ac:dyDescent="0.3">
      <c r="B27" s="101"/>
      <c r="C27" s="101"/>
      <c r="D27" s="101"/>
      <c r="E27" s="7" t="s">
        <v>68</v>
      </c>
      <c r="F27" s="7"/>
      <c r="G27" s="7">
        <v>1</v>
      </c>
      <c r="H27" s="26" t="s">
        <v>116</v>
      </c>
      <c r="I27" s="47" t="s">
        <v>84</v>
      </c>
      <c r="J27" s="7">
        <v>1</v>
      </c>
      <c r="K27" s="7"/>
      <c r="L27" s="7"/>
      <c r="M27" s="7"/>
      <c r="N27" s="7"/>
      <c r="O27" s="7"/>
      <c r="P27" s="7"/>
      <c r="Q27" s="7"/>
      <c r="R27" s="7"/>
      <c r="S27" s="7"/>
      <c r="T27" s="7"/>
      <c r="U27" s="25"/>
    </row>
    <row r="28" spans="2:21" ht="30" x14ac:dyDescent="0.3">
      <c r="B28" s="101"/>
      <c r="C28" s="101"/>
      <c r="D28" s="101"/>
      <c r="E28" s="7" t="s">
        <v>184</v>
      </c>
      <c r="F28" s="7"/>
      <c r="G28" s="7">
        <v>1</v>
      </c>
      <c r="H28" s="26" t="s">
        <v>116</v>
      </c>
      <c r="I28" s="47" t="s">
        <v>84</v>
      </c>
      <c r="J28" s="7">
        <v>1</v>
      </c>
      <c r="K28" s="7"/>
      <c r="L28" s="7"/>
      <c r="M28" s="7"/>
      <c r="N28" s="7"/>
      <c r="O28" s="7"/>
      <c r="P28" s="7"/>
      <c r="Q28" s="7"/>
      <c r="R28" s="7"/>
      <c r="S28" s="7"/>
      <c r="T28" s="7"/>
      <c r="U28" s="25"/>
    </row>
    <row r="29" spans="2:21" ht="45" x14ac:dyDescent="0.3">
      <c r="B29" s="101"/>
      <c r="C29" s="101"/>
      <c r="D29" s="102"/>
      <c r="E29" s="7" t="s">
        <v>278</v>
      </c>
      <c r="F29" s="7"/>
      <c r="G29" s="7">
        <v>1</v>
      </c>
      <c r="H29" s="26" t="s">
        <v>116</v>
      </c>
      <c r="I29" s="47" t="s">
        <v>84</v>
      </c>
      <c r="J29" s="7">
        <v>1</v>
      </c>
      <c r="K29" s="7"/>
      <c r="L29" s="7"/>
      <c r="M29" s="7"/>
      <c r="N29" s="7"/>
      <c r="O29" s="7"/>
      <c r="P29" s="7"/>
      <c r="Q29" s="7"/>
      <c r="R29" s="7"/>
      <c r="S29" s="7"/>
      <c r="T29" s="7"/>
      <c r="U29" s="25"/>
    </row>
    <row r="30" spans="2:21" ht="15" x14ac:dyDescent="0.3">
      <c r="B30" s="101"/>
      <c r="C30" s="101"/>
      <c r="D30" s="93" t="s">
        <v>284</v>
      </c>
      <c r="E30" s="7" t="s">
        <v>281</v>
      </c>
      <c r="F30" s="7"/>
      <c r="G30" s="7">
        <v>1</v>
      </c>
      <c r="H30" s="26" t="s">
        <v>116</v>
      </c>
      <c r="I30" s="47" t="s">
        <v>84</v>
      </c>
      <c r="J30" s="7">
        <v>1</v>
      </c>
      <c r="K30" s="7"/>
      <c r="L30" s="7"/>
      <c r="M30" s="7"/>
      <c r="N30" s="7"/>
      <c r="O30" s="7"/>
      <c r="P30" s="7"/>
      <c r="Q30" s="7"/>
      <c r="R30" s="7"/>
      <c r="S30" s="7"/>
      <c r="T30" s="7"/>
      <c r="U30" s="25"/>
    </row>
    <row r="31" spans="2:21" ht="15" x14ac:dyDescent="0.3">
      <c r="B31" s="101"/>
      <c r="C31" s="101"/>
      <c r="D31" s="101"/>
      <c r="E31" s="7" t="s">
        <v>280</v>
      </c>
      <c r="F31" s="7"/>
      <c r="G31" s="7">
        <v>1</v>
      </c>
      <c r="H31" s="26" t="s">
        <v>116</v>
      </c>
      <c r="I31" s="47" t="s">
        <v>84</v>
      </c>
      <c r="J31" s="7">
        <v>1</v>
      </c>
      <c r="K31" s="7"/>
      <c r="L31" s="7"/>
      <c r="M31" s="7"/>
      <c r="N31" s="7"/>
      <c r="O31" s="7"/>
      <c r="P31" s="7"/>
      <c r="Q31" s="7"/>
      <c r="R31" s="7"/>
      <c r="S31" s="7"/>
      <c r="T31" s="7"/>
      <c r="U31" s="25"/>
    </row>
    <row r="32" spans="2:21" ht="60" x14ac:dyDescent="0.3">
      <c r="B32" s="101"/>
      <c r="C32" s="101"/>
      <c r="D32" s="101"/>
      <c r="E32" s="7" t="s">
        <v>183</v>
      </c>
      <c r="F32" s="7" t="s">
        <v>279</v>
      </c>
      <c r="G32" s="7">
        <v>1</v>
      </c>
      <c r="H32" s="26" t="s">
        <v>116</v>
      </c>
      <c r="I32" s="47" t="s">
        <v>84</v>
      </c>
      <c r="J32" s="7">
        <v>1</v>
      </c>
      <c r="K32" s="7"/>
      <c r="L32" s="7"/>
      <c r="M32" s="7"/>
      <c r="N32" s="7"/>
      <c r="O32" s="7"/>
      <c r="P32" s="7"/>
      <c r="Q32" s="7"/>
      <c r="R32" s="7"/>
      <c r="S32" s="7"/>
      <c r="T32" s="7"/>
      <c r="U32" s="25"/>
    </row>
    <row r="33" spans="2:21" ht="15" x14ac:dyDescent="0.3">
      <c r="B33" s="101"/>
      <c r="C33" s="101"/>
      <c r="D33" s="101"/>
      <c r="E33" s="7" t="s">
        <v>68</v>
      </c>
      <c r="F33" s="7"/>
      <c r="G33" s="7">
        <v>1</v>
      </c>
      <c r="H33" s="26" t="s">
        <v>116</v>
      </c>
      <c r="I33" s="47" t="s">
        <v>84</v>
      </c>
      <c r="J33" s="7">
        <v>1</v>
      </c>
      <c r="K33" s="7"/>
      <c r="L33" s="7"/>
      <c r="M33" s="7"/>
      <c r="N33" s="7"/>
      <c r="O33" s="7"/>
      <c r="P33" s="7"/>
      <c r="Q33" s="7"/>
      <c r="R33" s="7"/>
      <c r="S33" s="7"/>
      <c r="T33" s="7"/>
      <c r="U33" s="25"/>
    </row>
    <row r="34" spans="2:21" ht="30" x14ac:dyDescent="0.3">
      <c r="B34" s="101"/>
      <c r="C34" s="101"/>
      <c r="D34" s="101"/>
      <c r="E34" s="7" t="s">
        <v>184</v>
      </c>
      <c r="F34" s="7"/>
      <c r="G34" s="7">
        <v>1</v>
      </c>
      <c r="H34" s="26" t="s">
        <v>116</v>
      </c>
      <c r="I34" s="47" t="s">
        <v>84</v>
      </c>
      <c r="J34" s="7">
        <v>1</v>
      </c>
      <c r="K34" s="7"/>
      <c r="L34" s="7"/>
      <c r="M34" s="7"/>
      <c r="N34" s="7"/>
      <c r="O34" s="7"/>
      <c r="P34" s="7"/>
      <c r="Q34" s="7"/>
      <c r="R34" s="7"/>
      <c r="S34" s="7"/>
      <c r="T34" s="7"/>
      <c r="U34" s="25"/>
    </row>
    <row r="35" spans="2:21" ht="45" x14ac:dyDescent="0.3">
      <c r="B35" s="101"/>
      <c r="C35" s="101"/>
      <c r="D35" s="102"/>
      <c r="E35" s="7" t="s">
        <v>278</v>
      </c>
      <c r="F35" s="7"/>
      <c r="G35" s="7">
        <v>1</v>
      </c>
      <c r="H35" s="26" t="s">
        <v>116</v>
      </c>
      <c r="I35" s="47" t="s">
        <v>84</v>
      </c>
      <c r="J35" s="7">
        <v>1</v>
      </c>
      <c r="K35" s="7"/>
      <c r="L35" s="7"/>
      <c r="M35" s="7"/>
      <c r="N35" s="7"/>
      <c r="O35" s="7"/>
      <c r="P35" s="7"/>
      <c r="Q35" s="7"/>
      <c r="R35" s="7"/>
      <c r="S35" s="7"/>
      <c r="T35" s="7"/>
      <c r="U35" s="25"/>
    </row>
    <row r="36" spans="2:21" ht="15" x14ac:dyDescent="0.3">
      <c r="B36" s="101"/>
      <c r="C36" s="101"/>
      <c r="D36" s="93" t="s">
        <v>283</v>
      </c>
      <c r="E36" s="7" t="s">
        <v>281</v>
      </c>
      <c r="F36" s="7"/>
      <c r="G36" s="7">
        <v>1</v>
      </c>
      <c r="H36" s="26" t="s">
        <v>116</v>
      </c>
      <c r="I36" s="47" t="s">
        <v>84</v>
      </c>
      <c r="J36" s="7">
        <v>1</v>
      </c>
      <c r="K36" s="7"/>
      <c r="L36" s="7"/>
      <c r="M36" s="7"/>
      <c r="N36" s="7"/>
      <c r="O36" s="7"/>
      <c r="P36" s="7"/>
      <c r="Q36" s="7"/>
      <c r="R36" s="7"/>
      <c r="S36" s="7"/>
      <c r="T36" s="7"/>
      <c r="U36" s="25"/>
    </row>
    <row r="37" spans="2:21" ht="15" x14ac:dyDescent="0.3">
      <c r="B37" s="101"/>
      <c r="C37" s="101"/>
      <c r="D37" s="101"/>
      <c r="E37" s="7" t="s">
        <v>280</v>
      </c>
      <c r="F37" s="7"/>
      <c r="G37" s="7">
        <v>1</v>
      </c>
      <c r="H37" s="26" t="s">
        <v>116</v>
      </c>
      <c r="I37" s="47" t="s">
        <v>84</v>
      </c>
      <c r="J37" s="7">
        <v>1</v>
      </c>
      <c r="K37" s="7"/>
      <c r="L37" s="7"/>
      <c r="M37" s="7"/>
      <c r="N37" s="7"/>
      <c r="O37" s="7"/>
      <c r="P37" s="7"/>
      <c r="Q37" s="7"/>
      <c r="R37" s="7"/>
      <c r="S37" s="7"/>
      <c r="T37" s="7"/>
      <c r="U37" s="25"/>
    </row>
    <row r="38" spans="2:21" ht="60" x14ac:dyDescent="0.3">
      <c r="B38" s="101"/>
      <c r="C38" s="101"/>
      <c r="D38" s="101"/>
      <c r="E38" s="7" t="s">
        <v>183</v>
      </c>
      <c r="F38" s="7" t="s">
        <v>279</v>
      </c>
      <c r="G38" s="7">
        <v>1</v>
      </c>
      <c r="H38" s="26" t="s">
        <v>116</v>
      </c>
      <c r="I38" s="47" t="s">
        <v>84</v>
      </c>
      <c r="J38" s="7">
        <v>1</v>
      </c>
      <c r="K38" s="7"/>
      <c r="L38" s="7"/>
      <c r="M38" s="7"/>
      <c r="N38" s="7"/>
      <c r="O38" s="7"/>
      <c r="P38" s="7"/>
      <c r="Q38" s="7"/>
      <c r="R38" s="7"/>
      <c r="S38" s="7"/>
      <c r="T38" s="7"/>
      <c r="U38" s="25"/>
    </row>
    <row r="39" spans="2:21" ht="15" x14ac:dyDescent="0.3">
      <c r="B39" s="101"/>
      <c r="C39" s="101"/>
      <c r="D39" s="101"/>
      <c r="E39" s="7" t="s">
        <v>68</v>
      </c>
      <c r="F39" s="7"/>
      <c r="G39" s="7">
        <v>1</v>
      </c>
      <c r="H39" s="26" t="s">
        <v>116</v>
      </c>
      <c r="I39" s="47" t="s">
        <v>84</v>
      </c>
      <c r="J39" s="7">
        <v>1</v>
      </c>
      <c r="K39" s="7"/>
      <c r="L39" s="7"/>
      <c r="M39" s="7"/>
      <c r="N39" s="7"/>
      <c r="O39" s="7"/>
      <c r="P39" s="7"/>
      <c r="Q39" s="7"/>
      <c r="R39" s="7"/>
      <c r="S39" s="7"/>
      <c r="T39" s="7"/>
      <c r="U39" s="25"/>
    </row>
    <row r="40" spans="2:21" ht="30" x14ac:dyDescent="0.3">
      <c r="B40" s="101"/>
      <c r="C40" s="101"/>
      <c r="D40" s="101"/>
      <c r="E40" s="7" t="s">
        <v>184</v>
      </c>
      <c r="F40" s="7"/>
      <c r="G40" s="7">
        <v>1</v>
      </c>
      <c r="H40" s="26" t="s">
        <v>116</v>
      </c>
      <c r="I40" s="47" t="s">
        <v>84</v>
      </c>
      <c r="J40" s="7">
        <v>1</v>
      </c>
      <c r="K40" s="7"/>
      <c r="L40" s="7"/>
      <c r="M40" s="7"/>
      <c r="N40" s="7"/>
      <c r="O40" s="7"/>
      <c r="P40" s="7"/>
      <c r="Q40" s="7"/>
      <c r="R40" s="7"/>
      <c r="S40" s="7"/>
      <c r="T40" s="7"/>
      <c r="U40" s="25"/>
    </row>
    <row r="41" spans="2:21" ht="45" x14ac:dyDescent="0.3">
      <c r="B41" s="101"/>
      <c r="C41" s="101"/>
      <c r="D41" s="102"/>
      <c r="E41" s="7" t="s">
        <v>278</v>
      </c>
      <c r="F41" s="7"/>
      <c r="G41" s="7">
        <v>1</v>
      </c>
      <c r="H41" s="26" t="s">
        <v>116</v>
      </c>
      <c r="I41" s="47" t="s">
        <v>84</v>
      </c>
      <c r="J41" s="7">
        <v>1</v>
      </c>
      <c r="K41" s="7"/>
      <c r="L41" s="7"/>
      <c r="M41" s="7"/>
      <c r="N41" s="7"/>
      <c r="O41" s="7"/>
      <c r="P41" s="7"/>
      <c r="Q41" s="7"/>
      <c r="R41" s="7"/>
      <c r="S41" s="7"/>
      <c r="T41" s="7"/>
      <c r="U41" s="25"/>
    </row>
    <row r="42" spans="2:21" ht="15" x14ac:dyDescent="0.3">
      <c r="B42" s="101"/>
      <c r="C42" s="101"/>
      <c r="D42" s="93" t="s">
        <v>282</v>
      </c>
      <c r="E42" s="7" t="s">
        <v>281</v>
      </c>
      <c r="F42" s="7"/>
      <c r="G42" s="7">
        <v>1</v>
      </c>
      <c r="H42" s="26" t="s">
        <v>116</v>
      </c>
      <c r="I42" s="47" t="s">
        <v>84</v>
      </c>
      <c r="J42" s="7">
        <v>1</v>
      </c>
      <c r="K42" s="7"/>
      <c r="L42" s="7"/>
      <c r="M42" s="7"/>
      <c r="N42" s="7"/>
      <c r="O42" s="7"/>
      <c r="P42" s="7"/>
      <c r="Q42" s="7"/>
      <c r="R42" s="7"/>
      <c r="S42" s="7"/>
      <c r="T42" s="7"/>
      <c r="U42" s="25"/>
    </row>
    <row r="43" spans="2:21" ht="15" x14ac:dyDescent="0.3">
      <c r="B43" s="101"/>
      <c r="C43" s="101"/>
      <c r="D43" s="101"/>
      <c r="E43" s="7" t="s">
        <v>280</v>
      </c>
      <c r="F43" s="7"/>
      <c r="G43" s="7">
        <v>1</v>
      </c>
      <c r="H43" s="26" t="s">
        <v>116</v>
      </c>
      <c r="I43" s="47" t="s">
        <v>84</v>
      </c>
      <c r="J43" s="7">
        <v>1</v>
      </c>
      <c r="K43" s="7"/>
      <c r="L43" s="7"/>
      <c r="M43" s="7"/>
      <c r="N43" s="7"/>
      <c r="O43" s="7"/>
      <c r="P43" s="7"/>
      <c r="Q43" s="7"/>
      <c r="R43" s="7"/>
      <c r="S43" s="7"/>
      <c r="T43" s="7"/>
      <c r="U43" s="25"/>
    </row>
    <row r="44" spans="2:21" ht="60" x14ac:dyDescent="0.3">
      <c r="B44" s="101"/>
      <c r="C44" s="101"/>
      <c r="D44" s="101"/>
      <c r="E44" s="7" t="s">
        <v>183</v>
      </c>
      <c r="F44" s="7" t="s">
        <v>279</v>
      </c>
      <c r="G44" s="7">
        <v>1</v>
      </c>
      <c r="H44" s="26" t="s">
        <v>116</v>
      </c>
      <c r="I44" s="47" t="s">
        <v>84</v>
      </c>
      <c r="J44" s="7">
        <v>1</v>
      </c>
      <c r="K44" s="7"/>
      <c r="L44" s="7"/>
      <c r="M44" s="7"/>
      <c r="N44" s="7"/>
      <c r="O44" s="7"/>
      <c r="P44" s="7"/>
      <c r="Q44" s="7"/>
      <c r="R44" s="7"/>
      <c r="S44" s="7"/>
      <c r="T44" s="7"/>
      <c r="U44" s="25"/>
    </row>
    <row r="45" spans="2:21" ht="15" x14ac:dyDescent="0.3">
      <c r="B45" s="101"/>
      <c r="C45" s="101"/>
      <c r="D45" s="101"/>
      <c r="E45" s="7" t="s">
        <v>68</v>
      </c>
      <c r="F45" s="7"/>
      <c r="G45" s="7">
        <v>1</v>
      </c>
      <c r="H45" s="26" t="s">
        <v>116</v>
      </c>
      <c r="I45" s="47" t="s">
        <v>84</v>
      </c>
      <c r="J45" s="7">
        <v>1</v>
      </c>
      <c r="K45" s="7"/>
      <c r="L45" s="7"/>
      <c r="M45" s="7"/>
      <c r="N45" s="7"/>
      <c r="O45" s="7"/>
      <c r="P45" s="7"/>
      <c r="Q45" s="7"/>
      <c r="R45" s="7"/>
      <c r="S45" s="7"/>
      <c r="T45" s="7"/>
      <c r="U45" s="25"/>
    </row>
    <row r="46" spans="2:21" ht="30" x14ac:dyDescent="0.3">
      <c r="B46" s="101"/>
      <c r="C46" s="101"/>
      <c r="D46" s="101"/>
      <c r="E46" s="7" t="s">
        <v>184</v>
      </c>
      <c r="F46" s="7"/>
      <c r="G46" s="7">
        <v>1</v>
      </c>
      <c r="H46" s="26" t="s">
        <v>116</v>
      </c>
      <c r="I46" s="47" t="s">
        <v>84</v>
      </c>
      <c r="J46" s="7">
        <v>1</v>
      </c>
      <c r="K46" s="7"/>
      <c r="L46" s="7"/>
      <c r="M46" s="7"/>
      <c r="N46" s="7"/>
      <c r="O46" s="7"/>
      <c r="P46" s="7"/>
      <c r="Q46" s="7"/>
      <c r="R46" s="7"/>
      <c r="S46" s="7"/>
      <c r="T46" s="7"/>
      <c r="U46" s="25"/>
    </row>
    <row r="47" spans="2:21" ht="45.6" thickBot="1" x14ac:dyDescent="0.35">
      <c r="B47" s="102"/>
      <c r="C47" s="108"/>
      <c r="D47" s="108"/>
      <c r="E47" s="7" t="s">
        <v>278</v>
      </c>
      <c r="F47" s="7"/>
      <c r="G47" s="7">
        <v>1</v>
      </c>
      <c r="H47" s="26" t="s">
        <v>116</v>
      </c>
      <c r="I47" s="47" t="s">
        <v>84</v>
      </c>
      <c r="J47" s="7">
        <v>1</v>
      </c>
      <c r="K47" s="7"/>
      <c r="L47" s="7"/>
      <c r="M47" s="7"/>
      <c r="N47" s="7"/>
      <c r="O47" s="7"/>
      <c r="P47" s="7"/>
      <c r="Q47" s="7"/>
      <c r="R47" s="7"/>
      <c r="S47" s="7"/>
      <c r="T47" s="7"/>
      <c r="U47" s="25"/>
    </row>
    <row r="49" spans="4:10" ht="15" thickBot="1" x14ac:dyDescent="0.35"/>
    <row r="50" spans="4:10" ht="16.2" thickBot="1" x14ac:dyDescent="0.35">
      <c r="D50" s="3" t="s">
        <v>55</v>
      </c>
      <c r="E50" s="3"/>
      <c r="F50" s="11"/>
      <c r="G50" s="12">
        <f>SUM(G7)</f>
        <v>39</v>
      </c>
      <c r="H50" s="4"/>
      <c r="I50" s="62" t="s">
        <v>293</v>
      </c>
      <c r="J50" s="63">
        <f>SUM(J8:J47)</f>
        <v>48</v>
      </c>
    </row>
    <row r="51" spans="4:10" ht="16.2" thickBot="1" x14ac:dyDescent="0.35">
      <c r="D51" s="4"/>
      <c r="E51" s="4"/>
      <c r="F51" s="4"/>
      <c r="G51" s="4"/>
      <c r="H51" s="4"/>
      <c r="I51" s="64" t="s">
        <v>294</v>
      </c>
      <c r="J51" s="65">
        <f>J50/8</f>
        <v>6</v>
      </c>
    </row>
  </sheetData>
  <mergeCells count="12">
    <mergeCell ref="B14:B47"/>
    <mergeCell ref="C14:C17"/>
    <mergeCell ref="B3:T3"/>
    <mergeCell ref="C4:K4"/>
    <mergeCell ref="C6:E6"/>
    <mergeCell ref="D36:D41"/>
    <mergeCell ref="D42:D47"/>
    <mergeCell ref="D18:D23"/>
    <mergeCell ref="C18:C47"/>
    <mergeCell ref="D24:D29"/>
    <mergeCell ref="D30:D35"/>
    <mergeCell ref="B8:B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B206E-1282-41F8-8545-764A5A647AE8}">
  <dimension ref="B2:AA132"/>
  <sheetViews>
    <sheetView showGridLines="0" zoomScaleNormal="100" workbookViewId="0">
      <selection activeCell="D36" sqref="D36:J37"/>
    </sheetView>
  </sheetViews>
  <sheetFormatPr baseColWidth="10" defaultRowHeight="15.6" x14ac:dyDescent="0.3"/>
  <cols>
    <col min="1" max="1" width="11.5546875" style="17"/>
    <col min="2" max="2" width="22.77734375" style="17" bestFit="1" customWidth="1"/>
    <col min="3" max="3" width="36.77734375" style="17" bestFit="1" customWidth="1"/>
    <col min="4" max="4" width="38" style="17" bestFit="1" customWidth="1"/>
    <col min="5" max="5" width="25.88671875" style="17" bestFit="1" customWidth="1"/>
    <col min="6" max="7" width="12.21875" style="17" bestFit="1" customWidth="1"/>
    <col min="8" max="8" width="14.6640625" style="17" bestFit="1" customWidth="1"/>
    <col min="9" max="9" width="11.109375" style="17" bestFit="1" customWidth="1"/>
    <col min="10" max="10" width="11.33203125" style="17" bestFit="1" customWidth="1"/>
    <col min="11" max="19" width="6.44140625" style="17" bestFit="1" customWidth="1"/>
    <col min="20" max="20" width="7.77734375" style="17" bestFit="1" customWidth="1"/>
    <col min="21" max="21" width="11.88671875" style="17" bestFit="1" customWidth="1"/>
    <col min="22" max="16384" width="11.5546875" style="17"/>
  </cols>
  <sheetData>
    <row r="2" spans="2:27" ht="21" x14ac:dyDescent="0.3">
      <c r="B2" s="103" t="s">
        <v>358</v>
      </c>
      <c r="C2" s="103"/>
      <c r="D2" s="103"/>
      <c r="E2" s="103"/>
      <c r="F2" s="103"/>
      <c r="G2" s="103"/>
      <c r="H2" s="103"/>
      <c r="I2" s="103"/>
      <c r="J2" s="103"/>
      <c r="K2" s="103"/>
      <c r="L2" s="103"/>
      <c r="M2" s="103"/>
      <c r="N2" s="103"/>
      <c r="O2" s="103"/>
      <c r="P2" s="103"/>
      <c r="Q2" s="103"/>
      <c r="R2" s="103"/>
      <c r="S2" s="103"/>
      <c r="T2" s="103"/>
      <c r="U2" s="103"/>
      <c r="V2"/>
      <c r="W2"/>
      <c r="X2"/>
      <c r="Y2"/>
      <c r="Z2"/>
      <c r="AA2"/>
    </row>
    <row r="3" spans="2:27" ht="21" x14ac:dyDescent="0.3">
      <c r="B3" s="5" t="s">
        <v>35</v>
      </c>
      <c r="C3" s="104" t="s">
        <v>352</v>
      </c>
      <c r="D3" s="105"/>
      <c r="E3" s="105"/>
      <c r="F3" s="105"/>
      <c r="G3" s="105"/>
      <c r="H3" s="105"/>
      <c r="I3" s="105"/>
      <c r="J3" s="105"/>
      <c r="K3" s="105"/>
      <c r="L3" s="4"/>
      <c r="M3" s="4"/>
      <c r="N3" s="4"/>
      <c r="O3" s="4"/>
      <c r="P3" s="4"/>
      <c r="Q3" s="4"/>
      <c r="R3" s="4"/>
      <c r="S3" s="4"/>
      <c r="T3" s="4"/>
      <c r="U3" s="4"/>
      <c r="V3"/>
      <c r="W3"/>
      <c r="X3"/>
      <c r="Y3"/>
      <c r="Z3"/>
      <c r="AA3"/>
    </row>
    <row r="4" spans="2:27" ht="16.2" thickBot="1" x14ac:dyDescent="0.35">
      <c r="B4" s="4"/>
      <c r="C4" s="4"/>
      <c r="D4" s="4"/>
      <c r="E4" s="4"/>
      <c r="F4" s="4"/>
      <c r="G4" s="4"/>
      <c r="H4" s="4"/>
      <c r="I4" s="4"/>
      <c r="J4" s="4"/>
      <c r="K4" s="4"/>
      <c r="L4" s="4"/>
      <c r="M4" s="4"/>
      <c r="N4" s="4"/>
      <c r="O4" s="4"/>
      <c r="P4" s="4"/>
      <c r="Q4" s="4"/>
      <c r="R4" s="4"/>
      <c r="S4" s="4"/>
      <c r="T4" s="4"/>
      <c r="U4" s="4"/>
      <c r="V4"/>
      <c r="W4"/>
      <c r="X4"/>
      <c r="Y4"/>
      <c r="Z4"/>
      <c r="AA4"/>
    </row>
    <row r="5" spans="2:27" ht="36.6" thickBot="1" x14ac:dyDescent="0.35">
      <c r="B5" s="40" t="s">
        <v>36</v>
      </c>
      <c r="C5" s="97" t="s">
        <v>21</v>
      </c>
      <c r="D5" s="98"/>
      <c r="E5" s="98"/>
      <c r="F5" s="99"/>
      <c r="G5" s="42" t="s">
        <v>37</v>
      </c>
      <c r="H5" s="41" t="s">
        <v>38</v>
      </c>
      <c r="I5" s="42" t="s">
        <v>3</v>
      </c>
      <c r="J5" s="42" t="s">
        <v>39</v>
      </c>
      <c r="K5" s="42" t="s">
        <v>40</v>
      </c>
      <c r="L5" s="42" t="s">
        <v>41</v>
      </c>
      <c r="M5" s="42" t="s">
        <v>42</v>
      </c>
      <c r="N5" s="42" t="s">
        <v>43</v>
      </c>
      <c r="O5" s="42" t="s">
        <v>44</v>
      </c>
      <c r="P5" s="42" t="s">
        <v>45</v>
      </c>
      <c r="Q5" s="42" t="s">
        <v>46</v>
      </c>
      <c r="R5" s="42" t="s">
        <v>47</v>
      </c>
      <c r="S5" s="42" t="s">
        <v>48</v>
      </c>
      <c r="T5" s="42" t="s">
        <v>49</v>
      </c>
      <c r="U5" s="42" t="s">
        <v>50</v>
      </c>
      <c r="V5"/>
      <c r="W5"/>
      <c r="X5"/>
      <c r="Y5"/>
      <c r="Z5"/>
      <c r="AA5"/>
    </row>
    <row r="6" spans="2:27" ht="21" x14ac:dyDescent="0.3">
      <c r="B6" s="51" t="s">
        <v>15</v>
      </c>
      <c r="C6" s="35"/>
      <c r="D6" s="35"/>
      <c r="E6" s="35"/>
      <c r="F6" s="35"/>
      <c r="G6" s="35">
        <f>SUM(G7:G20)</f>
        <v>16</v>
      </c>
      <c r="H6" s="35"/>
      <c r="I6" s="35"/>
      <c r="J6" s="35"/>
      <c r="K6" s="35"/>
      <c r="L6" s="35"/>
      <c r="M6" s="35"/>
      <c r="N6" s="35"/>
      <c r="O6" s="35"/>
      <c r="P6" s="35"/>
      <c r="Q6" s="35"/>
      <c r="R6" s="35"/>
      <c r="S6" s="35"/>
      <c r="T6" s="35"/>
      <c r="U6" s="37"/>
    </row>
    <row r="7" spans="2:27" x14ac:dyDescent="0.3">
      <c r="B7" s="92" t="s">
        <v>160</v>
      </c>
      <c r="C7" s="92" t="s">
        <v>277</v>
      </c>
      <c r="D7" s="7" t="s">
        <v>255</v>
      </c>
      <c r="E7" s="7"/>
      <c r="F7" s="7"/>
      <c r="G7" s="7">
        <v>1</v>
      </c>
      <c r="H7" s="26" t="s">
        <v>116</v>
      </c>
      <c r="I7" s="47" t="s">
        <v>84</v>
      </c>
      <c r="J7" s="7">
        <v>1</v>
      </c>
      <c r="K7" s="7"/>
      <c r="L7" s="7"/>
      <c r="M7" s="7"/>
      <c r="N7" s="7"/>
      <c r="O7" s="7"/>
      <c r="P7" s="7"/>
      <c r="Q7" s="7"/>
      <c r="R7" s="7"/>
      <c r="S7" s="7"/>
      <c r="T7" s="7"/>
      <c r="U7" s="7"/>
    </row>
    <row r="8" spans="2:27" ht="60" x14ac:dyDescent="0.3">
      <c r="B8" s="92"/>
      <c r="C8" s="92"/>
      <c r="D8" s="7" t="s">
        <v>254</v>
      </c>
      <c r="E8" s="7" t="s">
        <v>253</v>
      </c>
      <c r="F8" s="7"/>
      <c r="G8" s="7">
        <v>1</v>
      </c>
      <c r="H8" s="26" t="s">
        <v>116</v>
      </c>
      <c r="I8" s="47" t="s">
        <v>84</v>
      </c>
      <c r="J8" s="7">
        <v>2</v>
      </c>
      <c r="K8" s="7"/>
      <c r="L8" s="7"/>
      <c r="M8" s="7"/>
      <c r="N8" s="7"/>
      <c r="O8" s="7"/>
      <c r="P8" s="7"/>
      <c r="Q8" s="7"/>
      <c r="R8" s="7"/>
      <c r="S8" s="7"/>
      <c r="T8" s="7"/>
      <c r="U8" s="7"/>
    </row>
    <row r="9" spans="2:27" x14ac:dyDescent="0.3">
      <c r="B9" s="92"/>
      <c r="C9" s="92"/>
      <c r="D9" s="7" t="s">
        <v>276</v>
      </c>
      <c r="E9" s="7"/>
      <c r="F9" s="7"/>
      <c r="G9" s="7">
        <v>1</v>
      </c>
      <c r="H9" s="26" t="s">
        <v>116</v>
      </c>
      <c r="I9" s="47" t="s">
        <v>84</v>
      </c>
      <c r="J9" s="7">
        <v>2</v>
      </c>
      <c r="K9" s="7"/>
      <c r="L9" s="7"/>
      <c r="M9" s="7"/>
      <c r="N9" s="7"/>
      <c r="O9" s="7"/>
      <c r="P9" s="7"/>
      <c r="Q9" s="7"/>
      <c r="R9" s="7"/>
      <c r="S9" s="7"/>
      <c r="T9" s="7"/>
      <c r="U9" s="7"/>
    </row>
    <row r="10" spans="2:27" x14ac:dyDescent="0.3">
      <c r="B10" s="92"/>
      <c r="C10" s="92"/>
      <c r="D10" s="7" t="s">
        <v>275</v>
      </c>
      <c r="E10" s="7"/>
      <c r="F10" s="7"/>
      <c r="G10" s="7">
        <v>1</v>
      </c>
      <c r="H10" s="26" t="s">
        <v>116</v>
      </c>
      <c r="I10" s="47" t="s">
        <v>84</v>
      </c>
      <c r="J10" s="7">
        <v>1</v>
      </c>
      <c r="K10" s="7"/>
      <c r="L10" s="7"/>
      <c r="M10" s="7"/>
      <c r="N10" s="7"/>
      <c r="O10" s="7"/>
      <c r="P10" s="7"/>
      <c r="Q10" s="7"/>
      <c r="R10" s="7"/>
      <c r="S10" s="7"/>
      <c r="T10" s="7"/>
      <c r="U10" s="7"/>
    </row>
    <row r="11" spans="2:27" x14ac:dyDescent="0.3">
      <c r="B11" s="92"/>
      <c r="C11" s="92"/>
      <c r="D11" s="7" t="s">
        <v>274</v>
      </c>
      <c r="E11" s="7"/>
      <c r="F11" s="7"/>
      <c r="G11" s="7">
        <v>1</v>
      </c>
      <c r="H11" s="26" t="s">
        <v>116</v>
      </c>
      <c r="I11" s="47" t="s">
        <v>84</v>
      </c>
      <c r="J11" s="7">
        <v>1</v>
      </c>
      <c r="K11" s="7"/>
      <c r="L11" s="7"/>
      <c r="M11" s="7"/>
      <c r="N11" s="7"/>
      <c r="O11" s="7"/>
      <c r="P11" s="7"/>
      <c r="Q11" s="7"/>
      <c r="R11" s="7"/>
      <c r="S11" s="7"/>
      <c r="T11" s="7"/>
      <c r="U11" s="7"/>
    </row>
    <row r="12" spans="2:27" x14ac:dyDescent="0.3">
      <c r="B12" s="92"/>
      <c r="C12" s="92"/>
      <c r="D12" s="7" t="s">
        <v>188</v>
      </c>
      <c r="E12" s="7"/>
      <c r="F12" s="7"/>
      <c r="G12" s="7">
        <v>1</v>
      </c>
      <c r="H12" s="26" t="s">
        <v>116</v>
      </c>
      <c r="I12" s="47" t="s">
        <v>84</v>
      </c>
      <c r="J12" s="7">
        <v>1</v>
      </c>
      <c r="K12" s="7"/>
      <c r="L12" s="7"/>
      <c r="M12" s="7"/>
      <c r="N12" s="7"/>
      <c r="O12" s="7"/>
      <c r="P12" s="7"/>
      <c r="Q12" s="7"/>
      <c r="R12" s="7"/>
      <c r="S12" s="7"/>
      <c r="T12" s="7"/>
      <c r="U12" s="7"/>
    </row>
    <row r="13" spans="2:27" x14ac:dyDescent="0.3">
      <c r="B13" s="92"/>
      <c r="C13" s="92"/>
      <c r="D13" s="7" t="s">
        <v>273</v>
      </c>
      <c r="E13" s="7"/>
      <c r="F13" s="7"/>
      <c r="G13" s="7">
        <v>1</v>
      </c>
      <c r="H13" s="26" t="s">
        <v>116</v>
      </c>
      <c r="I13" s="47" t="s">
        <v>84</v>
      </c>
      <c r="J13" s="7">
        <v>1</v>
      </c>
      <c r="K13" s="7"/>
      <c r="L13" s="7"/>
      <c r="M13" s="7"/>
      <c r="N13" s="7"/>
      <c r="O13" s="7"/>
      <c r="P13" s="7"/>
      <c r="Q13" s="7"/>
      <c r="R13" s="7"/>
      <c r="S13" s="7"/>
      <c r="T13" s="7"/>
      <c r="U13" s="7"/>
    </row>
    <row r="14" spans="2:27" ht="75" x14ac:dyDescent="0.3">
      <c r="B14" s="92"/>
      <c r="C14" s="92"/>
      <c r="D14" s="7" t="s">
        <v>186</v>
      </c>
      <c r="E14" s="7" t="s">
        <v>272</v>
      </c>
      <c r="F14" s="7"/>
      <c r="G14" s="7">
        <v>1</v>
      </c>
      <c r="H14" s="26" t="s">
        <v>116</v>
      </c>
      <c r="I14" s="47" t="s">
        <v>84</v>
      </c>
      <c r="J14" s="7">
        <v>1</v>
      </c>
      <c r="K14" s="7"/>
      <c r="L14" s="7"/>
      <c r="M14" s="7"/>
      <c r="N14" s="7"/>
      <c r="O14" s="7"/>
      <c r="P14" s="7"/>
      <c r="Q14" s="7"/>
      <c r="R14" s="7"/>
      <c r="S14" s="7"/>
      <c r="T14" s="7"/>
      <c r="U14" s="7"/>
    </row>
    <row r="15" spans="2:27" x14ac:dyDescent="0.3">
      <c r="B15" s="92"/>
      <c r="C15" s="92"/>
      <c r="D15" s="7" t="s">
        <v>187</v>
      </c>
      <c r="E15" s="7"/>
      <c r="F15" s="7"/>
      <c r="G15" s="7">
        <v>1</v>
      </c>
      <c r="H15" s="26" t="s">
        <v>116</v>
      </c>
      <c r="I15" s="47" t="s">
        <v>84</v>
      </c>
      <c r="J15" s="7">
        <v>1</v>
      </c>
      <c r="K15" s="7"/>
      <c r="L15" s="7"/>
      <c r="M15" s="7"/>
      <c r="N15" s="7"/>
      <c r="O15" s="7"/>
      <c r="P15" s="7"/>
      <c r="Q15" s="7"/>
      <c r="R15" s="7"/>
      <c r="S15" s="7"/>
      <c r="T15" s="7"/>
      <c r="U15" s="7"/>
    </row>
    <row r="16" spans="2:27" ht="45" x14ac:dyDescent="0.3">
      <c r="B16" s="92"/>
      <c r="C16" s="92"/>
      <c r="D16" s="54" t="s">
        <v>271</v>
      </c>
      <c r="E16" s="7" t="s">
        <v>270</v>
      </c>
      <c r="F16" s="7"/>
      <c r="G16" s="7">
        <v>1</v>
      </c>
      <c r="H16" s="26" t="s">
        <v>116</v>
      </c>
      <c r="I16" s="47" t="s">
        <v>84</v>
      </c>
      <c r="J16" s="7">
        <v>1</v>
      </c>
      <c r="K16" s="7"/>
      <c r="L16" s="7"/>
      <c r="M16" s="7"/>
      <c r="N16" s="7"/>
      <c r="O16" s="7"/>
      <c r="P16" s="7"/>
      <c r="Q16" s="7"/>
      <c r="R16" s="7"/>
      <c r="S16" s="7"/>
      <c r="T16" s="7"/>
      <c r="U16" s="7"/>
    </row>
    <row r="17" spans="2:21" ht="16.2" thickBot="1" x14ac:dyDescent="0.35">
      <c r="B17" s="27"/>
      <c r="C17" s="28"/>
      <c r="D17" s="28"/>
      <c r="E17" s="28"/>
      <c r="F17" s="28"/>
      <c r="G17" s="28"/>
      <c r="H17" s="28"/>
      <c r="I17" s="28"/>
      <c r="J17" s="28"/>
      <c r="K17" s="28"/>
      <c r="L17" s="28"/>
      <c r="M17" s="28"/>
      <c r="N17" s="28"/>
      <c r="O17" s="28"/>
      <c r="P17" s="28"/>
      <c r="Q17" s="28"/>
      <c r="R17" s="28"/>
      <c r="S17" s="28"/>
      <c r="T17" s="28"/>
      <c r="U17" s="29"/>
    </row>
    <row r="18" spans="2:21" ht="30" x14ac:dyDescent="0.3">
      <c r="B18" s="100" t="s">
        <v>167</v>
      </c>
      <c r="C18" s="7" t="s">
        <v>269</v>
      </c>
      <c r="D18" s="53"/>
      <c r="E18" s="7"/>
      <c r="F18" s="7"/>
      <c r="G18" s="7">
        <v>2</v>
      </c>
      <c r="H18" s="26" t="s">
        <v>116</v>
      </c>
      <c r="I18" s="47" t="s">
        <v>84</v>
      </c>
      <c r="J18" s="7">
        <v>6</v>
      </c>
      <c r="K18" s="7"/>
      <c r="L18" s="7"/>
      <c r="M18" s="7"/>
      <c r="N18" s="7"/>
      <c r="O18" s="7"/>
      <c r="P18" s="7"/>
      <c r="Q18" s="7"/>
      <c r="R18" s="7"/>
      <c r="S18" s="7"/>
      <c r="T18" s="7"/>
      <c r="U18" s="7"/>
    </row>
    <row r="19" spans="2:21" ht="45" x14ac:dyDescent="0.3">
      <c r="B19" s="101"/>
      <c r="C19" s="7" t="s">
        <v>189</v>
      </c>
      <c r="D19" s="53"/>
      <c r="E19" s="7"/>
      <c r="F19" s="7"/>
      <c r="G19" s="7">
        <v>2</v>
      </c>
      <c r="H19" s="26" t="s">
        <v>116</v>
      </c>
      <c r="I19" s="47" t="s">
        <v>84</v>
      </c>
      <c r="J19" s="52">
        <v>8</v>
      </c>
      <c r="K19" s="52"/>
      <c r="L19" s="52"/>
      <c r="M19" s="52"/>
      <c r="N19" s="52"/>
      <c r="O19" s="52"/>
      <c r="P19" s="52"/>
      <c r="Q19" s="52"/>
      <c r="R19" s="52"/>
      <c r="S19" s="52"/>
      <c r="T19" s="52"/>
      <c r="U19" s="52"/>
    </row>
    <row r="20" spans="2:21" ht="45.6" thickBot="1" x14ac:dyDescent="0.35">
      <c r="B20" s="108"/>
      <c r="C20" s="7" t="s">
        <v>190</v>
      </c>
      <c r="D20" s="53"/>
      <c r="E20" s="7"/>
      <c r="F20" s="7"/>
      <c r="G20" s="7">
        <v>2</v>
      </c>
      <c r="H20" s="26" t="s">
        <v>116</v>
      </c>
      <c r="I20" s="47" t="s">
        <v>84</v>
      </c>
      <c r="J20" s="52">
        <v>6</v>
      </c>
      <c r="K20" s="52"/>
      <c r="L20" s="52"/>
      <c r="M20" s="52"/>
      <c r="N20" s="52"/>
      <c r="O20" s="52"/>
      <c r="P20" s="52"/>
      <c r="Q20" s="52"/>
      <c r="R20" s="52"/>
      <c r="S20" s="52"/>
      <c r="T20" s="52"/>
      <c r="U20" s="52"/>
    </row>
    <row r="21" spans="2:21" ht="21" x14ac:dyDescent="0.3">
      <c r="B21" s="51" t="s">
        <v>16</v>
      </c>
      <c r="C21" s="35"/>
      <c r="D21" s="35"/>
      <c r="E21" s="35"/>
      <c r="F21" s="35"/>
      <c r="G21" s="35">
        <f>SUM(G22:G32)</f>
        <v>11</v>
      </c>
      <c r="H21" s="35"/>
      <c r="I21" s="35"/>
      <c r="J21" s="35"/>
      <c r="K21" s="35"/>
      <c r="L21" s="35"/>
      <c r="M21" s="35"/>
      <c r="N21" s="35"/>
      <c r="O21" s="35"/>
      <c r="P21" s="35"/>
      <c r="Q21" s="35"/>
      <c r="R21" s="35"/>
      <c r="S21" s="35"/>
      <c r="T21" s="35"/>
      <c r="U21" s="37"/>
    </row>
    <row r="22" spans="2:21" x14ac:dyDescent="0.3">
      <c r="B22" s="92" t="s">
        <v>160</v>
      </c>
      <c r="C22" s="92" t="s">
        <v>268</v>
      </c>
      <c r="D22" s="7" t="s">
        <v>255</v>
      </c>
      <c r="E22" s="7"/>
      <c r="F22" s="7"/>
      <c r="G22" s="7">
        <v>1</v>
      </c>
      <c r="H22" s="26" t="s">
        <v>116</v>
      </c>
      <c r="I22" s="47" t="s">
        <v>84</v>
      </c>
      <c r="J22" s="7">
        <v>1</v>
      </c>
      <c r="K22" s="7"/>
      <c r="L22" s="7"/>
      <c r="M22" s="7"/>
      <c r="N22" s="7"/>
      <c r="O22" s="7"/>
      <c r="P22" s="7"/>
      <c r="Q22" s="7"/>
      <c r="R22" s="7"/>
      <c r="S22" s="7"/>
      <c r="T22" s="7"/>
      <c r="U22" s="7"/>
    </row>
    <row r="23" spans="2:21" ht="60" x14ac:dyDescent="0.3">
      <c r="B23" s="92"/>
      <c r="C23" s="92"/>
      <c r="D23" s="7" t="s">
        <v>254</v>
      </c>
      <c r="E23" s="7" t="s">
        <v>253</v>
      </c>
      <c r="F23" s="7"/>
      <c r="G23" s="7">
        <v>1</v>
      </c>
      <c r="H23" s="26" t="s">
        <v>116</v>
      </c>
      <c r="I23" s="47" t="s">
        <v>84</v>
      </c>
      <c r="J23" s="7">
        <v>2</v>
      </c>
      <c r="K23" s="7"/>
      <c r="L23" s="7"/>
      <c r="M23" s="7"/>
      <c r="N23" s="7"/>
      <c r="O23" s="7"/>
      <c r="P23" s="7"/>
      <c r="Q23" s="7"/>
      <c r="R23" s="7"/>
      <c r="S23" s="7"/>
      <c r="T23" s="7"/>
      <c r="U23" s="7"/>
    </row>
    <row r="24" spans="2:21" x14ac:dyDescent="0.3">
      <c r="B24" s="92"/>
      <c r="C24" s="92"/>
      <c r="D24" s="93" t="s">
        <v>267</v>
      </c>
      <c r="E24" s="7" t="s">
        <v>266</v>
      </c>
      <c r="F24" s="7"/>
      <c r="G24" s="7">
        <v>1</v>
      </c>
      <c r="H24" s="26" t="s">
        <v>116</v>
      </c>
      <c r="I24" s="47" t="s">
        <v>84</v>
      </c>
      <c r="J24" s="7">
        <v>2</v>
      </c>
      <c r="K24" s="7"/>
      <c r="L24" s="7"/>
      <c r="M24" s="7"/>
      <c r="N24" s="7"/>
      <c r="O24" s="7"/>
      <c r="P24" s="7"/>
      <c r="Q24" s="7"/>
      <c r="R24" s="7"/>
      <c r="S24" s="7"/>
      <c r="T24" s="7"/>
      <c r="U24" s="7"/>
    </row>
    <row r="25" spans="2:21" ht="30" x14ac:dyDescent="0.3">
      <c r="B25" s="92"/>
      <c r="C25" s="92"/>
      <c r="D25" s="101"/>
      <c r="E25" s="7" t="s">
        <v>265</v>
      </c>
      <c r="F25" s="7"/>
      <c r="G25" s="7">
        <v>1</v>
      </c>
      <c r="H25" s="26" t="s">
        <v>116</v>
      </c>
      <c r="I25" s="47" t="s">
        <v>84</v>
      </c>
      <c r="J25" s="7">
        <v>2</v>
      </c>
      <c r="K25" s="7"/>
      <c r="L25" s="7"/>
      <c r="M25" s="7"/>
      <c r="N25" s="7"/>
      <c r="O25" s="7"/>
      <c r="P25" s="7"/>
      <c r="Q25" s="7"/>
      <c r="R25" s="7"/>
      <c r="S25" s="7"/>
      <c r="T25" s="7"/>
      <c r="U25" s="7"/>
    </row>
    <row r="26" spans="2:21" x14ac:dyDescent="0.3">
      <c r="B26" s="92"/>
      <c r="C26" s="92"/>
      <c r="D26" s="102"/>
      <c r="E26" s="7" t="s">
        <v>264</v>
      </c>
      <c r="F26" s="7" t="s">
        <v>263</v>
      </c>
      <c r="G26" s="7">
        <v>1</v>
      </c>
      <c r="H26" s="26" t="s">
        <v>116</v>
      </c>
      <c r="I26" s="47" t="s">
        <v>84</v>
      </c>
      <c r="J26" s="7">
        <v>2</v>
      </c>
      <c r="K26" s="7"/>
      <c r="L26" s="7"/>
      <c r="M26" s="7"/>
      <c r="N26" s="7"/>
      <c r="O26" s="7"/>
      <c r="P26" s="7"/>
      <c r="Q26" s="7"/>
      <c r="R26" s="7"/>
      <c r="S26" s="7"/>
      <c r="T26" s="7"/>
      <c r="U26" s="7"/>
    </row>
    <row r="27" spans="2:21" x14ac:dyDescent="0.3">
      <c r="B27" s="92"/>
      <c r="C27" s="92"/>
      <c r="D27" s="93" t="s">
        <v>262</v>
      </c>
      <c r="E27" s="7" t="s">
        <v>261</v>
      </c>
      <c r="F27" s="7"/>
      <c r="G27" s="7">
        <v>1</v>
      </c>
      <c r="H27" s="26" t="s">
        <v>116</v>
      </c>
      <c r="I27" s="47" t="s">
        <v>84</v>
      </c>
      <c r="J27" s="7">
        <v>1</v>
      </c>
      <c r="K27" s="7"/>
      <c r="L27" s="7"/>
      <c r="M27" s="7"/>
      <c r="N27" s="7"/>
      <c r="O27" s="7"/>
      <c r="P27" s="7"/>
      <c r="Q27" s="7"/>
      <c r="R27" s="7"/>
      <c r="S27" s="7"/>
      <c r="T27" s="7"/>
      <c r="U27" s="7"/>
    </row>
    <row r="28" spans="2:21" x14ac:dyDescent="0.3">
      <c r="B28" s="92"/>
      <c r="C28" s="92"/>
      <c r="D28" s="101"/>
      <c r="E28" s="7" t="s">
        <v>260</v>
      </c>
      <c r="F28" s="7"/>
      <c r="G28" s="7">
        <v>1</v>
      </c>
      <c r="H28" s="26" t="s">
        <v>116</v>
      </c>
      <c r="I28" s="47" t="s">
        <v>84</v>
      </c>
      <c r="J28" s="7">
        <v>1</v>
      </c>
      <c r="K28" s="7"/>
      <c r="L28" s="7"/>
      <c r="M28" s="7"/>
      <c r="N28" s="7"/>
      <c r="O28" s="7"/>
      <c r="P28" s="7"/>
      <c r="Q28" s="7"/>
      <c r="R28" s="7"/>
      <c r="S28" s="7"/>
      <c r="T28" s="7"/>
      <c r="U28" s="7"/>
    </row>
    <row r="29" spans="2:21" x14ac:dyDescent="0.3">
      <c r="B29" s="92"/>
      <c r="C29" s="92"/>
      <c r="D29" s="102"/>
      <c r="E29" s="7" t="s">
        <v>259</v>
      </c>
      <c r="F29" s="7"/>
      <c r="G29" s="7">
        <v>1</v>
      </c>
      <c r="H29" s="26" t="s">
        <v>116</v>
      </c>
      <c r="I29" s="47" t="s">
        <v>84</v>
      </c>
      <c r="J29" s="7">
        <v>1</v>
      </c>
      <c r="K29" s="7"/>
      <c r="L29" s="7"/>
      <c r="M29" s="7"/>
      <c r="N29" s="7"/>
      <c r="O29" s="7"/>
      <c r="P29" s="7"/>
      <c r="Q29" s="7"/>
      <c r="R29" s="7"/>
      <c r="S29" s="7"/>
      <c r="T29" s="7"/>
      <c r="U29" s="7"/>
    </row>
    <row r="30" spans="2:21" ht="16.2" thickBot="1" x14ac:dyDescent="0.35">
      <c r="B30" s="27"/>
      <c r="C30" s="28"/>
      <c r="D30" s="28"/>
      <c r="E30" s="28"/>
      <c r="F30" s="28"/>
      <c r="G30" s="28"/>
      <c r="H30" s="28"/>
      <c r="I30" s="28"/>
      <c r="J30" s="28"/>
      <c r="K30" s="28"/>
      <c r="L30" s="28"/>
      <c r="M30" s="28"/>
      <c r="N30" s="28"/>
      <c r="O30" s="28"/>
      <c r="P30" s="28"/>
      <c r="Q30" s="28"/>
      <c r="R30" s="28"/>
      <c r="S30" s="28"/>
      <c r="T30" s="28"/>
      <c r="U30" s="29"/>
    </row>
    <row r="31" spans="2:21" ht="30" x14ac:dyDescent="0.3">
      <c r="B31" s="100" t="s">
        <v>167</v>
      </c>
      <c r="C31" s="7" t="s">
        <v>258</v>
      </c>
      <c r="D31" s="7"/>
      <c r="E31" s="7"/>
      <c r="F31" s="7"/>
      <c r="G31" s="7">
        <v>2</v>
      </c>
      <c r="H31" s="26" t="s">
        <v>116</v>
      </c>
      <c r="I31" s="47" t="s">
        <v>84</v>
      </c>
      <c r="J31" s="7">
        <v>6</v>
      </c>
      <c r="K31" s="7"/>
      <c r="L31" s="7"/>
      <c r="M31" s="7"/>
      <c r="N31" s="7"/>
      <c r="O31" s="7"/>
      <c r="P31" s="7"/>
      <c r="Q31" s="7"/>
      <c r="R31" s="7"/>
      <c r="S31" s="7"/>
      <c r="T31" s="7"/>
      <c r="U31" s="7"/>
    </row>
    <row r="32" spans="2:21" x14ac:dyDescent="0.3">
      <c r="B32" s="102"/>
      <c r="C32" s="7" t="s">
        <v>257</v>
      </c>
      <c r="D32" s="7"/>
      <c r="E32" s="7"/>
      <c r="F32" s="7"/>
      <c r="G32" s="7">
        <v>1</v>
      </c>
      <c r="H32" s="26" t="s">
        <v>116</v>
      </c>
      <c r="I32" s="47" t="s">
        <v>84</v>
      </c>
      <c r="J32" s="7">
        <v>4</v>
      </c>
      <c r="K32" s="7"/>
      <c r="L32" s="7"/>
      <c r="M32" s="7"/>
      <c r="N32" s="7"/>
      <c r="O32" s="7"/>
      <c r="P32" s="7"/>
      <c r="Q32" s="7"/>
      <c r="R32" s="7"/>
      <c r="S32" s="7"/>
      <c r="T32" s="7"/>
      <c r="U32" s="7"/>
    </row>
    <row r="35" spans="4:10" ht="16.2" thickBot="1" x14ac:dyDescent="0.35"/>
    <row r="36" spans="4:10" ht="16.2" thickBot="1" x14ac:dyDescent="0.35">
      <c r="D36" s="3" t="s">
        <v>55</v>
      </c>
      <c r="E36" s="3"/>
      <c r="F36" s="11"/>
      <c r="G36" s="12">
        <f>SUM(G6,G21)</f>
        <v>27</v>
      </c>
      <c r="H36" s="4"/>
      <c r="I36" s="62" t="s">
        <v>293</v>
      </c>
      <c r="J36" s="63">
        <f>SUM(J6:J32)</f>
        <v>54</v>
      </c>
    </row>
    <row r="37" spans="4:10" ht="16.2" thickBot="1" x14ac:dyDescent="0.35">
      <c r="D37" s="4"/>
      <c r="E37" s="4"/>
      <c r="F37" s="4"/>
      <c r="G37" s="4"/>
      <c r="H37" s="4"/>
      <c r="I37" s="64" t="s">
        <v>294</v>
      </c>
      <c r="J37" s="65">
        <f>J36/8</f>
        <v>6.75</v>
      </c>
    </row>
    <row r="46" spans="4:10" ht="15.6" customHeight="1" x14ac:dyDescent="0.3"/>
    <row r="54" s="17" customFormat="1" ht="15.6" customHeight="1" x14ac:dyDescent="0.3"/>
    <row r="68" spans="22:27" x14ac:dyDescent="0.3">
      <c r="V68"/>
      <c r="W68"/>
      <c r="X68"/>
      <c r="Y68"/>
      <c r="Z68"/>
      <c r="AA68"/>
    </row>
    <row r="69" spans="22:27" x14ac:dyDescent="0.3">
      <c r="V69"/>
      <c r="W69"/>
      <c r="X69"/>
      <c r="Y69"/>
      <c r="Z69"/>
      <c r="AA69"/>
    </row>
    <row r="70" spans="22:27" x14ac:dyDescent="0.3">
      <c r="V70"/>
      <c r="W70"/>
      <c r="X70"/>
      <c r="Y70"/>
      <c r="Z70"/>
      <c r="AA70"/>
    </row>
    <row r="71" spans="22:27" x14ac:dyDescent="0.3">
      <c r="V71"/>
      <c r="W71"/>
      <c r="X71"/>
      <c r="Y71"/>
      <c r="Z71"/>
      <c r="AA71"/>
    </row>
    <row r="72" spans="22:27" x14ac:dyDescent="0.3">
      <c r="V72"/>
      <c r="W72"/>
      <c r="X72"/>
      <c r="Y72"/>
      <c r="Z72"/>
      <c r="AA72"/>
    </row>
    <row r="73" spans="22:27" x14ac:dyDescent="0.3">
      <c r="V73"/>
      <c r="W73"/>
      <c r="X73"/>
      <c r="Y73"/>
      <c r="Z73"/>
      <c r="AA73"/>
    </row>
    <row r="74" spans="22:27" x14ac:dyDescent="0.3">
      <c r="V74"/>
      <c r="W74"/>
      <c r="X74"/>
      <c r="Y74"/>
      <c r="Z74"/>
      <c r="AA74"/>
    </row>
    <row r="132" s="17" customFormat="1" ht="12.6" customHeight="1" x14ac:dyDescent="0.3"/>
  </sheetData>
  <mergeCells count="11">
    <mergeCell ref="C5:F5"/>
    <mergeCell ref="B2:U2"/>
    <mergeCell ref="C3:K3"/>
    <mergeCell ref="B31:B32"/>
    <mergeCell ref="B18:B20"/>
    <mergeCell ref="B7:B16"/>
    <mergeCell ref="B22:B29"/>
    <mergeCell ref="C22:C29"/>
    <mergeCell ref="D27:D29"/>
    <mergeCell ref="D24:D26"/>
    <mergeCell ref="C7:C16"/>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2ADE2-1942-40DB-984C-931230D7D34D}">
  <dimension ref="B2:T51"/>
  <sheetViews>
    <sheetView topLeftCell="A43" zoomScaleNormal="100" workbookViewId="0">
      <selection activeCell="O52" sqref="O52"/>
    </sheetView>
  </sheetViews>
  <sheetFormatPr baseColWidth="10" defaultRowHeight="14.4" x14ac:dyDescent="0.3"/>
  <cols>
    <col min="2" max="2" width="12.6640625" bestFit="1" customWidth="1"/>
    <col min="3" max="3" width="14.109375" bestFit="1" customWidth="1"/>
    <col min="4" max="4" width="22.21875" bestFit="1" customWidth="1"/>
    <col min="5" max="5" width="25.109375" bestFit="1" customWidth="1"/>
    <col min="6" max="6" width="12.21875" bestFit="1" customWidth="1"/>
    <col min="7" max="7" width="15.21875" bestFit="1" customWidth="1"/>
    <col min="8" max="8" width="11.109375" bestFit="1" customWidth="1"/>
    <col min="9" max="9" width="11.33203125" bestFit="1" customWidth="1"/>
    <col min="10" max="18" width="6.77734375" bestFit="1" customWidth="1"/>
    <col min="19" max="19" width="8.21875" bestFit="1" customWidth="1"/>
    <col min="20" max="20" width="11.88671875" bestFit="1" customWidth="1"/>
  </cols>
  <sheetData>
    <row r="2" spans="2:20" ht="21" x14ac:dyDescent="0.3">
      <c r="B2" s="103" t="s">
        <v>360</v>
      </c>
      <c r="C2" s="103"/>
      <c r="D2" s="103"/>
      <c r="E2" s="103"/>
      <c r="F2" s="103"/>
      <c r="G2" s="103"/>
      <c r="H2" s="103"/>
      <c r="I2" s="103"/>
      <c r="J2" s="103"/>
      <c r="K2" s="103"/>
      <c r="L2" s="103"/>
      <c r="M2" s="103"/>
      <c r="N2" s="103"/>
      <c r="O2" s="103"/>
      <c r="P2" s="103"/>
      <c r="Q2" s="103"/>
      <c r="R2" s="103"/>
      <c r="S2" s="103"/>
      <c r="T2" s="103"/>
    </row>
    <row r="3" spans="2:20" ht="21" x14ac:dyDescent="0.3">
      <c r="B3" s="5" t="s">
        <v>35</v>
      </c>
      <c r="C3" s="104" t="s">
        <v>359</v>
      </c>
      <c r="D3" s="105"/>
      <c r="E3" s="105"/>
      <c r="F3" s="105"/>
      <c r="G3" s="105"/>
      <c r="H3" s="105"/>
      <c r="I3" s="105"/>
      <c r="J3" s="105"/>
      <c r="K3" s="4"/>
      <c r="L3" s="4"/>
      <c r="M3" s="4"/>
      <c r="N3" s="4"/>
      <c r="O3" s="4"/>
      <c r="P3" s="4"/>
      <c r="Q3" s="4"/>
      <c r="R3" s="4"/>
      <c r="S3" s="4"/>
      <c r="T3" s="4"/>
    </row>
    <row r="4" spans="2:20" ht="15" thickBot="1" x14ac:dyDescent="0.35">
      <c r="B4" s="4"/>
      <c r="C4" s="4"/>
      <c r="D4" s="4"/>
      <c r="E4" s="4"/>
      <c r="F4" s="4"/>
      <c r="G4" s="4"/>
      <c r="H4" s="4"/>
      <c r="I4" s="4"/>
      <c r="J4" s="4"/>
      <c r="K4" s="4"/>
      <c r="L4" s="4"/>
      <c r="M4" s="4"/>
      <c r="N4" s="4"/>
      <c r="O4" s="4"/>
      <c r="P4" s="4"/>
      <c r="Q4" s="4"/>
      <c r="R4" s="4"/>
      <c r="S4" s="4"/>
      <c r="T4" s="4"/>
    </row>
    <row r="5" spans="2:20" ht="54.6" thickBot="1" x14ac:dyDescent="0.35">
      <c r="B5" s="40" t="s">
        <v>36</v>
      </c>
      <c r="C5" s="97" t="s">
        <v>21</v>
      </c>
      <c r="D5" s="98"/>
      <c r="E5" s="98"/>
      <c r="F5" s="42" t="s">
        <v>37</v>
      </c>
      <c r="G5" s="41" t="s">
        <v>38</v>
      </c>
      <c r="H5" s="42" t="s">
        <v>3</v>
      </c>
      <c r="I5" s="42" t="s">
        <v>39</v>
      </c>
      <c r="J5" s="42" t="s">
        <v>40</v>
      </c>
      <c r="K5" s="42" t="s">
        <v>41</v>
      </c>
      <c r="L5" s="42" t="s">
        <v>42</v>
      </c>
      <c r="M5" s="42" t="s">
        <v>43</v>
      </c>
      <c r="N5" s="42" t="s">
        <v>44</v>
      </c>
      <c r="O5" s="42" t="s">
        <v>45</v>
      </c>
      <c r="P5" s="42" t="s">
        <v>46</v>
      </c>
      <c r="Q5" s="42" t="s">
        <v>47</v>
      </c>
      <c r="R5" s="42" t="s">
        <v>48</v>
      </c>
      <c r="S5" s="42" t="s">
        <v>49</v>
      </c>
      <c r="T5" s="42" t="s">
        <v>50</v>
      </c>
    </row>
    <row r="6" spans="2:20" ht="21" x14ac:dyDescent="0.3">
      <c r="B6" s="51" t="s">
        <v>17</v>
      </c>
      <c r="C6" s="35"/>
      <c r="D6" s="35"/>
      <c r="E6" s="35"/>
      <c r="F6" s="35">
        <f>SUM(F7:F39)</f>
        <v>33</v>
      </c>
      <c r="G6" s="35"/>
      <c r="H6" s="43"/>
      <c r="I6" s="43"/>
      <c r="J6" s="35"/>
      <c r="K6" s="35"/>
      <c r="L6" s="35"/>
      <c r="M6" s="35"/>
      <c r="N6" s="35"/>
      <c r="O6" s="35"/>
      <c r="P6" s="35"/>
      <c r="Q6" s="35"/>
      <c r="R6" s="35"/>
      <c r="S6" s="35"/>
      <c r="T6" s="37"/>
    </row>
    <row r="7" spans="2:20" ht="30" x14ac:dyDescent="0.3">
      <c r="B7" s="111" t="s">
        <v>160</v>
      </c>
      <c r="C7" s="93" t="s">
        <v>256</v>
      </c>
      <c r="D7" s="7" t="s">
        <v>255</v>
      </c>
      <c r="E7" s="7"/>
      <c r="F7" s="7">
        <v>1</v>
      </c>
      <c r="G7" s="26" t="s">
        <v>116</v>
      </c>
      <c r="H7" s="47" t="s">
        <v>84</v>
      </c>
      <c r="I7" s="7">
        <v>1</v>
      </c>
      <c r="J7" s="7"/>
      <c r="K7" s="7"/>
      <c r="L7" s="7"/>
      <c r="M7" s="7"/>
      <c r="N7" s="7"/>
      <c r="O7" s="7"/>
      <c r="P7" s="7"/>
      <c r="Q7" s="7"/>
      <c r="R7" s="7"/>
      <c r="S7" s="7"/>
      <c r="T7" s="25"/>
    </row>
    <row r="8" spans="2:20" ht="60" x14ac:dyDescent="0.3">
      <c r="B8" s="109"/>
      <c r="C8" s="102"/>
      <c r="D8" s="7" t="s">
        <v>254</v>
      </c>
      <c r="E8" s="7" t="s">
        <v>253</v>
      </c>
      <c r="F8" s="7">
        <v>1</v>
      </c>
      <c r="G8" s="26" t="s">
        <v>116</v>
      </c>
      <c r="H8" s="47" t="s">
        <v>84</v>
      </c>
      <c r="I8" s="7">
        <v>1</v>
      </c>
      <c r="J8" s="7"/>
      <c r="K8" s="7"/>
      <c r="L8" s="7"/>
      <c r="M8" s="7"/>
      <c r="N8" s="7"/>
      <c r="O8" s="7"/>
      <c r="P8" s="7"/>
      <c r="Q8" s="7"/>
      <c r="R8" s="7"/>
      <c r="S8" s="7"/>
      <c r="T8" s="25"/>
    </row>
    <row r="9" spans="2:20" ht="30" x14ac:dyDescent="0.3">
      <c r="B9" s="109"/>
      <c r="C9" s="93" t="s">
        <v>252</v>
      </c>
      <c r="D9" s="93" t="s">
        <v>251</v>
      </c>
      <c r="E9" s="7" t="s">
        <v>250</v>
      </c>
      <c r="F9" s="7">
        <v>1</v>
      </c>
      <c r="G9" s="26" t="s">
        <v>116</v>
      </c>
      <c r="H9" s="47" t="s">
        <v>84</v>
      </c>
      <c r="I9" s="7">
        <v>1</v>
      </c>
      <c r="J9" s="7"/>
      <c r="K9" s="7"/>
      <c r="L9" s="7"/>
      <c r="M9" s="7"/>
      <c r="N9" s="7"/>
      <c r="O9" s="7"/>
      <c r="P9" s="7"/>
      <c r="Q9" s="7"/>
      <c r="R9" s="7"/>
      <c r="S9" s="7"/>
      <c r="T9" s="25"/>
    </row>
    <row r="10" spans="2:20" ht="15" x14ac:dyDescent="0.3">
      <c r="B10" s="109"/>
      <c r="C10" s="101"/>
      <c r="D10" s="102"/>
      <c r="E10" s="7" t="s">
        <v>247</v>
      </c>
      <c r="F10" s="7">
        <v>1</v>
      </c>
      <c r="G10" s="26" t="s">
        <v>116</v>
      </c>
      <c r="H10" s="47" t="s">
        <v>84</v>
      </c>
      <c r="I10" s="7">
        <v>1</v>
      </c>
      <c r="J10" s="7"/>
      <c r="K10" s="7"/>
      <c r="L10" s="52"/>
      <c r="M10" s="7"/>
      <c r="N10" s="7"/>
      <c r="O10" s="7"/>
      <c r="P10" s="7"/>
      <c r="Q10" s="7"/>
      <c r="R10" s="7"/>
      <c r="S10" s="7"/>
      <c r="T10" s="25"/>
    </row>
    <row r="11" spans="2:20" ht="45" x14ac:dyDescent="0.3">
      <c r="B11" s="109"/>
      <c r="C11" s="101"/>
      <c r="D11" s="93" t="s">
        <v>249</v>
      </c>
      <c r="E11" s="7" t="s">
        <v>248</v>
      </c>
      <c r="F11" s="7">
        <v>1</v>
      </c>
      <c r="G11" s="26" t="s">
        <v>116</v>
      </c>
      <c r="H11" s="47" t="s">
        <v>84</v>
      </c>
      <c r="I11" s="7">
        <v>2</v>
      </c>
      <c r="J11" s="7"/>
      <c r="K11" s="7"/>
      <c r="L11" s="52"/>
      <c r="M11" s="7"/>
      <c r="N11" s="7"/>
      <c r="O11" s="7"/>
      <c r="P11" s="7"/>
      <c r="Q11" s="7"/>
      <c r="R11" s="7"/>
      <c r="S11" s="7"/>
      <c r="T11" s="25"/>
    </row>
    <row r="12" spans="2:20" ht="15" x14ac:dyDescent="0.3">
      <c r="B12" s="109"/>
      <c r="C12" s="101"/>
      <c r="D12" s="102"/>
      <c r="E12" s="7" t="s">
        <v>247</v>
      </c>
      <c r="F12" s="7">
        <v>1</v>
      </c>
      <c r="G12" s="26" t="s">
        <v>116</v>
      </c>
      <c r="H12" s="47" t="s">
        <v>84</v>
      </c>
      <c r="I12" s="7">
        <v>1</v>
      </c>
      <c r="J12" s="7"/>
      <c r="K12" s="7"/>
      <c r="L12" s="52"/>
      <c r="M12" s="7"/>
      <c r="N12" s="7"/>
      <c r="O12" s="7"/>
      <c r="P12" s="7"/>
      <c r="Q12" s="7"/>
      <c r="R12" s="7"/>
      <c r="S12" s="7"/>
      <c r="T12" s="25"/>
    </row>
    <row r="13" spans="2:20" ht="15" x14ac:dyDescent="0.3">
      <c r="B13" s="109"/>
      <c r="C13" s="101"/>
      <c r="D13" s="93" t="s">
        <v>246</v>
      </c>
      <c r="E13" s="7" t="s">
        <v>243</v>
      </c>
      <c r="F13" s="7">
        <v>1</v>
      </c>
      <c r="G13" s="26" t="s">
        <v>116</v>
      </c>
      <c r="H13" s="47" t="s">
        <v>84</v>
      </c>
      <c r="I13" s="7">
        <v>1</v>
      </c>
      <c r="J13" s="7"/>
      <c r="K13" s="7"/>
      <c r="L13" s="52"/>
      <c r="M13" s="7"/>
      <c r="N13" s="7"/>
      <c r="O13" s="7"/>
      <c r="P13" s="7"/>
      <c r="Q13" s="7"/>
      <c r="R13" s="7"/>
      <c r="S13" s="7"/>
      <c r="T13" s="25"/>
    </row>
    <row r="14" spans="2:20" ht="30" x14ac:dyDescent="0.3">
      <c r="B14" s="109"/>
      <c r="C14" s="101"/>
      <c r="D14" s="101"/>
      <c r="E14" s="7" t="s">
        <v>245</v>
      </c>
      <c r="F14" s="7">
        <v>1</v>
      </c>
      <c r="G14" s="26" t="s">
        <v>116</v>
      </c>
      <c r="H14" s="47" t="s">
        <v>84</v>
      </c>
      <c r="I14" s="7">
        <v>1</v>
      </c>
      <c r="J14" s="7"/>
      <c r="K14" s="7"/>
      <c r="L14" s="52"/>
      <c r="M14" s="7"/>
      <c r="N14" s="7"/>
      <c r="O14" s="7"/>
      <c r="P14" s="7"/>
      <c r="Q14" s="7"/>
      <c r="R14" s="7"/>
      <c r="S14" s="7"/>
      <c r="T14" s="25"/>
    </row>
    <row r="15" spans="2:20" ht="15" x14ac:dyDescent="0.3">
      <c r="B15" s="109"/>
      <c r="C15" s="101"/>
      <c r="D15" s="102"/>
      <c r="E15" s="7" t="s">
        <v>183</v>
      </c>
      <c r="F15" s="7">
        <v>1</v>
      </c>
      <c r="G15" s="26" t="s">
        <v>116</v>
      </c>
      <c r="H15" s="47" t="s">
        <v>84</v>
      </c>
      <c r="I15" s="7">
        <v>1</v>
      </c>
      <c r="J15" s="7"/>
      <c r="K15" s="7"/>
      <c r="L15" s="52"/>
      <c r="M15" s="7"/>
      <c r="N15" s="7"/>
      <c r="O15" s="7"/>
      <c r="P15" s="7"/>
      <c r="Q15" s="7"/>
      <c r="R15" s="7"/>
      <c r="S15" s="7"/>
      <c r="T15" s="25"/>
    </row>
    <row r="16" spans="2:20" ht="15" x14ac:dyDescent="0.3">
      <c r="B16" s="109"/>
      <c r="C16" s="101"/>
      <c r="D16" s="93" t="s">
        <v>244</v>
      </c>
      <c r="E16" s="7" t="s">
        <v>243</v>
      </c>
      <c r="F16" s="7">
        <v>1</v>
      </c>
      <c r="G16" s="26" t="s">
        <v>116</v>
      </c>
      <c r="H16" s="47" t="s">
        <v>84</v>
      </c>
      <c r="I16" s="7">
        <v>1</v>
      </c>
      <c r="J16" s="52"/>
      <c r="K16" s="52"/>
      <c r="L16" s="52"/>
      <c r="M16" s="52"/>
      <c r="N16" s="52"/>
      <c r="O16" s="52"/>
      <c r="P16" s="52"/>
      <c r="Q16" s="52"/>
      <c r="R16" s="52"/>
      <c r="S16" s="52"/>
      <c r="T16" s="70"/>
    </row>
    <row r="17" spans="2:20" ht="30" x14ac:dyDescent="0.3">
      <c r="B17" s="109"/>
      <c r="C17" s="101"/>
      <c r="D17" s="101"/>
      <c r="E17" s="7" t="s">
        <v>242</v>
      </c>
      <c r="F17" s="7">
        <v>1</v>
      </c>
      <c r="G17" s="26" t="s">
        <v>116</v>
      </c>
      <c r="H17" s="47" t="s">
        <v>84</v>
      </c>
      <c r="I17" s="7">
        <v>1</v>
      </c>
      <c r="J17" s="52"/>
      <c r="K17" s="52"/>
      <c r="L17" s="52"/>
      <c r="M17" s="52"/>
      <c r="N17" s="52"/>
      <c r="O17" s="52"/>
      <c r="P17" s="52"/>
      <c r="Q17" s="52"/>
      <c r="R17" s="52"/>
      <c r="S17" s="52"/>
      <c r="T17" s="70"/>
    </row>
    <row r="18" spans="2:20" ht="15" x14ac:dyDescent="0.3">
      <c r="B18" s="109"/>
      <c r="C18" s="101"/>
      <c r="D18" s="102"/>
      <c r="E18" s="7" t="s">
        <v>183</v>
      </c>
      <c r="F18" s="7">
        <v>1</v>
      </c>
      <c r="G18" s="26" t="s">
        <v>116</v>
      </c>
      <c r="H18" s="47" t="s">
        <v>84</v>
      </c>
      <c r="I18" s="7">
        <v>1</v>
      </c>
      <c r="J18" s="52"/>
      <c r="K18" s="52"/>
      <c r="L18" s="52"/>
      <c r="M18" s="52"/>
      <c r="N18" s="52"/>
      <c r="O18" s="52"/>
      <c r="P18" s="52"/>
      <c r="Q18" s="52"/>
      <c r="R18" s="52"/>
      <c r="S18" s="52"/>
      <c r="T18" s="70"/>
    </row>
    <row r="19" spans="2:20" ht="15" x14ac:dyDescent="0.3">
      <c r="B19" s="109"/>
      <c r="C19" s="101"/>
      <c r="D19" s="93" t="s">
        <v>241</v>
      </c>
      <c r="E19" s="7" t="s">
        <v>235</v>
      </c>
      <c r="F19" s="7">
        <v>1</v>
      </c>
      <c r="G19" s="26" t="s">
        <v>116</v>
      </c>
      <c r="H19" s="47" t="s">
        <v>84</v>
      </c>
      <c r="I19" s="7">
        <v>1</v>
      </c>
      <c r="J19" s="52"/>
      <c r="K19" s="52"/>
      <c r="L19" s="52"/>
      <c r="M19" s="52"/>
      <c r="N19" s="52"/>
      <c r="O19" s="52"/>
      <c r="P19" s="52"/>
      <c r="Q19" s="52"/>
      <c r="R19" s="52"/>
      <c r="S19" s="52"/>
      <c r="T19" s="70"/>
    </row>
    <row r="20" spans="2:20" ht="15" x14ac:dyDescent="0.3">
      <c r="B20" s="109"/>
      <c r="C20" s="101"/>
      <c r="D20" s="101"/>
      <c r="E20" s="7" t="s">
        <v>240</v>
      </c>
      <c r="F20" s="7">
        <v>1</v>
      </c>
      <c r="G20" s="26" t="s">
        <v>116</v>
      </c>
      <c r="H20" s="47" t="s">
        <v>84</v>
      </c>
      <c r="I20" s="7">
        <v>1</v>
      </c>
      <c r="J20" s="52"/>
      <c r="K20" s="52"/>
      <c r="L20" s="52"/>
      <c r="M20" s="52"/>
      <c r="N20" s="52"/>
      <c r="O20" s="52"/>
      <c r="P20" s="52"/>
      <c r="Q20" s="52"/>
      <c r="R20" s="52"/>
      <c r="S20" s="52"/>
      <c r="T20" s="70"/>
    </row>
    <row r="21" spans="2:20" ht="30" x14ac:dyDescent="0.3">
      <c r="B21" s="109"/>
      <c r="C21" s="101"/>
      <c r="D21" s="101"/>
      <c r="E21" s="7" t="s">
        <v>239</v>
      </c>
      <c r="F21" s="7">
        <v>1</v>
      </c>
      <c r="G21" s="26" t="s">
        <v>116</v>
      </c>
      <c r="H21" s="47" t="s">
        <v>84</v>
      </c>
      <c r="I21" s="7">
        <v>1</v>
      </c>
      <c r="J21" s="52"/>
      <c r="K21" s="52"/>
      <c r="L21" s="52"/>
      <c r="M21" s="52"/>
      <c r="N21" s="52"/>
      <c r="O21" s="52"/>
      <c r="P21" s="52"/>
      <c r="Q21" s="52"/>
      <c r="R21" s="52"/>
      <c r="S21" s="52"/>
      <c r="T21" s="70"/>
    </row>
    <row r="22" spans="2:20" ht="30" x14ac:dyDescent="0.3">
      <c r="B22" s="109"/>
      <c r="C22" s="101"/>
      <c r="D22" s="102"/>
      <c r="E22" s="7" t="s">
        <v>238</v>
      </c>
      <c r="F22" s="7">
        <v>1</v>
      </c>
      <c r="G22" s="26" t="s">
        <v>116</v>
      </c>
      <c r="H22" s="47" t="s">
        <v>84</v>
      </c>
      <c r="I22" s="7">
        <v>1</v>
      </c>
      <c r="J22" s="52"/>
      <c r="K22" s="52"/>
      <c r="L22" s="52"/>
      <c r="M22" s="52"/>
      <c r="N22" s="52"/>
      <c r="O22" s="52"/>
      <c r="P22" s="52"/>
      <c r="Q22" s="52"/>
      <c r="R22" s="52"/>
      <c r="S22" s="52"/>
      <c r="T22" s="70"/>
    </row>
    <row r="23" spans="2:20" ht="45" x14ac:dyDescent="0.3">
      <c r="B23" s="109"/>
      <c r="C23" s="101"/>
      <c r="D23" s="93" t="s">
        <v>237</v>
      </c>
      <c r="E23" s="7" t="s">
        <v>236</v>
      </c>
      <c r="F23" s="7">
        <v>1</v>
      </c>
      <c r="G23" s="26" t="s">
        <v>116</v>
      </c>
      <c r="H23" s="47" t="s">
        <v>84</v>
      </c>
      <c r="I23" s="7">
        <v>1</v>
      </c>
      <c r="J23" s="52"/>
      <c r="K23" s="52"/>
      <c r="L23" s="52"/>
      <c r="M23" s="52"/>
      <c r="N23" s="52"/>
      <c r="O23" s="52"/>
      <c r="P23" s="52"/>
      <c r="Q23" s="52"/>
      <c r="R23" s="52"/>
      <c r="S23" s="52"/>
      <c r="T23" s="70"/>
    </row>
    <row r="24" spans="2:20" ht="15" x14ac:dyDescent="0.3">
      <c r="B24" s="109"/>
      <c r="C24" s="101"/>
      <c r="D24" s="101"/>
      <c r="E24" s="7" t="s">
        <v>235</v>
      </c>
      <c r="F24" s="7">
        <v>1</v>
      </c>
      <c r="G24" s="26" t="s">
        <v>116</v>
      </c>
      <c r="H24" s="47" t="s">
        <v>84</v>
      </c>
      <c r="I24" s="7">
        <v>1</v>
      </c>
      <c r="J24" s="52"/>
      <c r="K24" s="52"/>
      <c r="L24" s="52"/>
      <c r="M24" s="52"/>
      <c r="N24" s="52"/>
      <c r="O24" s="52"/>
      <c r="P24" s="52"/>
      <c r="Q24" s="52"/>
      <c r="R24" s="52"/>
      <c r="S24" s="52"/>
      <c r="T24" s="70"/>
    </row>
    <row r="25" spans="2:20" ht="15" x14ac:dyDescent="0.3">
      <c r="B25" s="109"/>
      <c r="C25" s="101"/>
      <c r="D25" s="102"/>
      <c r="E25" s="54" t="s">
        <v>234</v>
      </c>
      <c r="F25" s="7">
        <v>1</v>
      </c>
      <c r="G25" s="26" t="s">
        <v>116</v>
      </c>
      <c r="H25" s="47" t="s">
        <v>84</v>
      </c>
      <c r="I25" s="7">
        <v>1</v>
      </c>
      <c r="J25" s="7"/>
      <c r="K25" s="7"/>
      <c r="L25" s="7"/>
      <c r="M25" s="7"/>
      <c r="N25" s="7"/>
      <c r="O25" s="7"/>
      <c r="P25" s="7"/>
      <c r="Q25" s="7"/>
      <c r="R25" s="7"/>
      <c r="S25" s="7"/>
      <c r="T25" s="25"/>
    </row>
    <row r="26" spans="2:20" ht="30" x14ac:dyDescent="0.3">
      <c r="B26" s="109"/>
      <c r="C26" s="102"/>
      <c r="D26" s="7" t="s">
        <v>233</v>
      </c>
      <c r="E26" s="7"/>
      <c r="F26" s="7">
        <v>1</v>
      </c>
      <c r="G26" s="26" t="s">
        <v>116</v>
      </c>
      <c r="H26" s="47" t="s">
        <v>84</v>
      </c>
      <c r="I26" s="7">
        <v>1</v>
      </c>
      <c r="J26" s="7"/>
      <c r="K26" s="7"/>
      <c r="L26" s="7"/>
      <c r="M26" s="7"/>
      <c r="N26" s="7"/>
      <c r="O26" s="7"/>
      <c r="P26" s="7"/>
      <c r="Q26" s="7"/>
      <c r="R26" s="7"/>
      <c r="S26" s="7"/>
      <c r="T26" s="25"/>
    </row>
    <row r="27" spans="2:20" ht="30" x14ac:dyDescent="0.3">
      <c r="B27" s="109"/>
      <c r="C27" s="93" t="s">
        <v>232</v>
      </c>
      <c r="D27" s="7" t="s">
        <v>132</v>
      </c>
      <c r="E27" s="7"/>
      <c r="F27" s="7">
        <v>1</v>
      </c>
      <c r="G27" s="26" t="s">
        <v>116</v>
      </c>
      <c r="H27" s="47" t="s">
        <v>84</v>
      </c>
      <c r="I27" s="7">
        <v>1</v>
      </c>
      <c r="J27" s="7"/>
      <c r="K27" s="7"/>
      <c r="L27" s="7"/>
      <c r="M27" s="7"/>
      <c r="N27" s="7"/>
      <c r="O27" s="7"/>
      <c r="P27" s="7"/>
      <c r="Q27" s="7"/>
      <c r="R27" s="7"/>
      <c r="S27" s="7"/>
      <c r="T27" s="25"/>
    </row>
    <row r="28" spans="2:20" ht="15" x14ac:dyDescent="0.3">
      <c r="B28" s="109"/>
      <c r="C28" s="101"/>
      <c r="D28" s="7" t="s">
        <v>133</v>
      </c>
      <c r="E28" s="7"/>
      <c r="F28" s="7">
        <v>1</v>
      </c>
      <c r="G28" s="26" t="s">
        <v>116</v>
      </c>
      <c r="H28" s="47" t="s">
        <v>84</v>
      </c>
      <c r="I28" s="7">
        <v>1</v>
      </c>
      <c r="J28" s="7"/>
      <c r="K28" s="7"/>
      <c r="L28" s="7"/>
      <c r="M28" s="7"/>
      <c r="N28" s="7"/>
      <c r="O28" s="7"/>
      <c r="P28" s="7"/>
      <c r="Q28" s="7"/>
      <c r="R28" s="7"/>
      <c r="S28" s="7"/>
      <c r="T28" s="25"/>
    </row>
    <row r="29" spans="2:20" ht="30" x14ac:dyDescent="0.3">
      <c r="B29" s="109"/>
      <c r="C29" s="101"/>
      <c r="D29" s="7" t="s">
        <v>231</v>
      </c>
      <c r="E29" s="7"/>
      <c r="F29" s="7">
        <v>1</v>
      </c>
      <c r="G29" s="26" t="s">
        <v>116</v>
      </c>
      <c r="H29" s="47" t="s">
        <v>84</v>
      </c>
      <c r="I29" s="7">
        <v>1</v>
      </c>
      <c r="J29" s="52"/>
      <c r="K29" s="52"/>
      <c r="L29" s="52"/>
      <c r="M29" s="52"/>
      <c r="N29" s="52"/>
      <c r="O29" s="52"/>
      <c r="P29" s="52"/>
      <c r="Q29" s="52"/>
      <c r="R29" s="52"/>
      <c r="S29" s="52"/>
      <c r="T29" s="70"/>
    </row>
    <row r="30" spans="2:20" ht="45" x14ac:dyDescent="0.3">
      <c r="B30" s="109"/>
      <c r="C30" s="101"/>
      <c r="D30" s="7" t="s">
        <v>230</v>
      </c>
      <c r="E30" s="7"/>
      <c r="F30" s="7">
        <v>1</v>
      </c>
      <c r="G30" s="26" t="s">
        <v>116</v>
      </c>
      <c r="H30" s="47" t="s">
        <v>84</v>
      </c>
      <c r="I30" s="7">
        <v>1</v>
      </c>
      <c r="J30" s="7"/>
      <c r="K30" s="7"/>
      <c r="L30" s="7"/>
      <c r="M30" s="7"/>
      <c r="N30" s="7"/>
      <c r="O30" s="7"/>
      <c r="P30" s="7"/>
      <c r="Q30" s="7"/>
      <c r="R30" s="7"/>
      <c r="S30" s="7"/>
      <c r="T30" s="25"/>
    </row>
    <row r="31" spans="2:20" ht="30.6" thickBot="1" x14ac:dyDescent="0.35">
      <c r="B31" s="110"/>
      <c r="C31" s="108"/>
      <c r="D31" s="45" t="s">
        <v>135</v>
      </c>
      <c r="E31" s="45"/>
      <c r="F31" s="45">
        <v>1</v>
      </c>
      <c r="G31" s="26" t="s">
        <v>116</v>
      </c>
      <c r="H31" s="71" t="s">
        <v>84</v>
      </c>
      <c r="I31" s="45">
        <v>1</v>
      </c>
      <c r="J31" s="45"/>
      <c r="K31" s="45"/>
      <c r="L31" s="45"/>
      <c r="M31" s="45"/>
      <c r="N31" s="45"/>
      <c r="O31" s="45"/>
      <c r="P31" s="45"/>
      <c r="Q31" s="45"/>
      <c r="R31" s="45"/>
      <c r="S31" s="45"/>
      <c r="T31" s="44"/>
    </row>
    <row r="32" spans="2:20" ht="15.6" thickBot="1" x14ac:dyDescent="0.35">
      <c r="B32" s="27"/>
      <c r="C32" s="28"/>
      <c r="D32" s="28"/>
      <c r="E32" s="28"/>
      <c r="F32" s="28"/>
      <c r="G32" s="28"/>
      <c r="H32" s="28"/>
      <c r="I32" s="28"/>
      <c r="J32" s="28"/>
      <c r="K32" s="28"/>
      <c r="L32" s="28"/>
      <c r="M32" s="28"/>
      <c r="N32" s="28"/>
      <c r="O32" s="28"/>
      <c r="P32" s="28"/>
      <c r="Q32" s="28"/>
      <c r="R32" s="28"/>
      <c r="S32" s="28"/>
      <c r="T32" s="29"/>
    </row>
    <row r="33" spans="2:20" ht="75" x14ac:dyDescent="0.3">
      <c r="B33" s="112" t="s">
        <v>167</v>
      </c>
      <c r="C33" s="8" t="s">
        <v>229</v>
      </c>
      <c r="D33" s="8"/>
      <c r="E33" s="8"/>
      <c r="F33" s="8">
        <v>2</v>
      </c>
      <c r="G33" s="26" t="s">
        <v>116</v>
      </c>
      <c r="H33" s="72" t="s">
        <v>84</v>
      </c>
      <c r="I33" s="8">
        <v>6</v>
      </c>
      <c r="J33" s="8"/>
      <c r="K33" s="8"/>
      <c r="L33" s="8"/>
      <c r="M33" s="8"/>
      <c r="N33" s="8"/>
      <c r="O33" s="8"/>
      <c r="P33" s="8"/>
      <c r="Q33" s="8"/>
      <c r="R33" s="8"/>
      <c r="S33" s="8"/>
      <c r="T33" s="49"/>
    </row>
    <row r="34" spans="2:20" ht="75" x14ac:dyDescent="0.3">
      <c r="B34" s="109"/>
      <c r="C34" s="7" t="s">
        <v>228</v>
      </c>
      <c r="D34" s="7"/>
      <c r="E34" s="7"/>
      <c r="F34" s="7">
        <v>1</v>
      </c>
      <c r="G34" s="26" t="s">
        <v>116</v>
      </c>
      <c r="H34" s="47" t="s">
        <v>84</v>
      </c>
      <c r="I34" s="7">
        <v>4</v>
      </c>
      <c r="J34" s="7"/>
      <c r="K34" s="7"/>
      <c r="L34" s="7"/>
      <c r="M34" s="7"/>
      <c r="N34" s="7"/>
      <c r="O34" s="7"/>
      <c r="P34" s="7"/>
      <c r="Q34" s="7"/>
      <c r="R34" s="7"/>
      <c r="S34" s="7"/>
      <c r="T34" s="25"/>
    </row>
    <row r="35" spans="2:20" ht="75" x14ac:dyDescent="0.3">
      <c r="B35" s="109"/>
      <c r="C35" s="7" t="s">
        <v>227</v>
      </c>
      <c r="D35" s="7"/>
      <c r="E35" s="7"/>
      <c r="F35" s="7">
        <v>1</v>
      </c>
      <c r="G35" s="26" t="s">
        <v>116</v>
      </c>
      <c r="H35" s="47" t="s">
        <v>84</v>
      </c>
      <c r="I35" s="7">
        <v>4</v>
      </c>
      <c r="J35" s="7"/>
      <c r="K35" s="7"/>
      <c r="L35" s="7"/>
      <c r="M35" s="7"/>
      <c r="N35" s="7"/>
      <c r="O35" s="7"/>
      <c r="P35" s="7"/>
      <c r="Q35" s="7"/>
      <c r="R35" s="7"/>
      <c r="S35" s="7"/>
      <c r="T35" s="25"/>
    </row>
    <row r="36" spans="2:20" ht="60" x14ac:dyDescent="0.3">
      <c r="B36" s="109"/>
      <c r="C36" s="7" t="s">
        <v>226</v>
      </c>
      <c r="D36" s="7"/>
      <c r="E36" s="7"/>
      <c r="F36" s="7">
        <v>1</v>
      </c>
      <c r="G36" s="26" t="s">
        <v>116</v>
      </c>
      <c r="H36" s="47" t="s">
        <v>84</v>
      </c>
      <c r="I36" s="7">
        <v>2</v>
      </c>
      <c r="J36" s="7"/>
      <c r="K36" s="7"/>
      <c r="L36" s="7"/>
      <c r="M36" s="7"/>
      <c r="N36" s="7"/>
      <c r="O36" s="7"/>
      <c r="P36" s="7"/>
      <c r="Q36" s="7"/>
      <c r="R36" s="7"/>
      <c r="S36" s="7"/>
      <c r="T36" s="25"/>
    </row>
    <row r="37" spans="2:20" ht="75" x14ac:dyDescent="0.3">
      <c r="B37" s="109"/>
      <c r="C37" s="7" t="s">
        <v>225</v>
      </c>
      <c r="D37" s="7"/>
      <c r="E37" s="7"/>
      <c r="F37" s="7">
        <v>1</v>
      </c>
      <c r="G37" s="26" t="s">
        <v>116</v>
      </c>
      <c r="H37" s="47" t="s">
        <v>84</v>
      </c>
      <c r="I37" s="7">
        <v>2</v>
      </c>
      <c r="J37" s="7"/>
      <c r="K37" s="7"/>
      <c r="L37" s="52"/>
      <c r="M37" s="7"/>
      <c r="N37" s="7"/>
      <c r="O37" s="7"/>
      <c r="P37" s="7"/>
      <c r="Q37" s="7"/>
      <c r="R37" s="7"/>
      <c r="S37" s="7"/>
      <c r="T37" s="25"/>
    </row>
    <row r="38" spans="2:20" ht="45" x14ac:dyDescent="0.3">
      <c r="B38" s="109"/>
      <c r="C38" s="7" t="s">
        <v>224</v>
      </c>
      <c r="D38" s="7"/>
      <c r="E38" s="7"/>
      <c r="F38" s="7">
        <v>1</v>
      </c>
      <c r="G38" s="26" t="s">
        <v>116</v>
      </c>
      <c r="H38" s="47" t="s">
        <v>84</v>
      </c>
      <c r="I38" s="7">
        <v>2</v>
      </c>
      <c r="J38" s="7"/>
      <c r="K38" s="7"/>
      <c r="L38" s="52"/>
      <c r="M38" s="7"/>
      <c r="N38" s="7"/>
      <c r="O38" s="7"/>
      <c r="P38" s="7"/>
      <c r="Q38" s="7"/>
      <c r="R38" s="7"/>
      <c r="S38" s="7"/>
      <c r="T38" s="25"/>
    </row>
    <row r="39" spans="2:20" ht="60.6" thickBot="1" x14ac:dyDescent="0.35">
      <c r="B39" s="110"/>
      <c r="C39" s="45" t="s">
        <v>223</v>
      </c>
      <c r="D39" s="45"/>
      <c r="E39" s="45"/>
      <c r="F39" s="45">
        <v>1</v>
      </c>
      <c r="G39" s="26" t="s">
        <v>116</v>
      </c>
      <c r="H39" s="71" t="s">
        <v>84</v>
      </c>
      <c r="I39" s="45">
        <v>3</v>
      </c>
      <c r="J39" s="45"/>
      <c r="K39" s="45"/>
      <c r="L39" s="73"/>
      <c r="M39" s="45"/>
      <c r="N39" s="45"/>
      <c r="O39" s="45"/>
      <c r="P39" s="45"/>
      <c r="Q39" s="45"/>
      <c r="R39" s="45"/>
      <c r="S39" s="45"/>
      <c r="T39" s="44"/>
    </row>
    <row r="40" spans="2:20" ht="21.6" thickBot="1" x14ac:dyDescent="0.35">
      <c r="B40" s="51" t="s">
        <v>18</v>
      </c>
      <c r="C40" s="35"/>
      <c r="D40" s="35"/>
      <c r="E40" s="35"/>
      <c r="F40" s="35">
        <f>SUM(F41:F47)</f>
        <v>6</v>
      </c>
      <c r="G40" s="35"/>
      <c r="H40" s="43"/>
      <c r="I40" s="43"/>
      <c r="J40" s="35"/>
      <c r="K40" s="35"/>
      <c r="L40" s="35"/>
      <c r="M40" s="35"/>
      <c r="N40" s="35"/>
      <c r="O40" s="35"/>
      <c r="P40" s="35"/>
      <c r="Q40" s="35"/>
      <c r="R40" s="35"/>
      <c r="S40" s="35"/>
      <c r="T40" s="37"/>
    </row>
    <row r="41" spans="2:20" ht="30" x14ac:dyDescent="0.3">
      <c r="B41" s="112" t="s">
        <v>160</v>
      </c>
      <c r="C41" s="100" t="s">
        <v>163</v>
      </c>
      <c r="D41" s="8" t="s">
        <v>334</v>
      </c>
      <c r="E41" s="8"/>
      <c r="F41" s="50">
        <v>1</v>
      </c>
      <c r="G41" s="26" t="s">
        <v>116</v>
      </c>
      <c r="H41" s="47" t="s">
        <v>84</v>
      </c>
      <c r="I41" s="7">
        <v>1</v>
      </c>
      <c r="J41" s="50"/>
      <c r="K41" s="8"/>
      <c r="L41" s="8"/>
      <c r="M41" s="8"/>
      <c r="N41" s="8"/>
      <c r="O41" s="8"/>
      <c r="P41" s="8"/>
      <c r="Q41" s="8"/>
      <c r="R41" s="8"/>
      <c r="S41" s="8"/>
      <c r="T41" s="49"/>
    </row>
    <row r="42" spans="2:20" ht="30" x14ac:dyDescent="0.3">
      <c r="B42" s="109"/>
      <c r="C42" s="101"/>
      <c r="D42" s="10" t="s">
        <v>333</v>
      </c>
      <c r="E42" s="10"/>
      <c r="F42" s="26">
        <v>1</v>
      </c>
      <c r="G42" s="26" t="s">
        <v>116</v>
      </c>
      <c r="H42" s="47" t="s">
        <v>84</v>
      </c>
      <c r="I42" s="7">
        <v>1</v>
      </c>
      <c r="J42" s="26"/>
      <c r="K42" s="10"/>
      <c r="L42" s="10"/>
      <c r="M42" s="10"/>
      <c r="N42" s="10"/>
      <c r="O42" s="10"/>
      <c r="P42" s="10"/>
      <c r="Q42" s="10"/>
      <c r="R42" s="10"/>
      <c r="S42" s="10"/>
      <c r="T42" s="23"/>
    </row>
    <row r="43" spans="2:20" ht="60" x14ac:dyDescent="0.3">
      <c r="B43" s="109"/>
      <c r="C43" s="101"/>
      <c r="D43" s="10" t="s">
        <v>332</v>
      </c>
      <c r="E43" s="10" t="s">
        <v>331</v>
      </c>
      <c r="F43" s="26">
        <v>1</v>
      </c>
      <c r="G43" s="26" t="s">
        <v>116</v>
      </c>
      <c r="H43" s="47" t="s">
        <v>84</v>
      </c>
      <c r="I43" s="7">
        <v>1</v>
      </c>
      <c r="J43" s="26"/>
      <c r="K43" s="10"/>
      <c r="L43" s="10"/>
      <c r="M43" s="10"/>
      <c r="N43" s="10"/>
      <c r="O43" s="10"/>
      <c r="P43" s="10"/>
      <c r="Q43" s="10"/>
      <c r="R43" s="10"/>
      <c r="S43" s="10"/>
      <c r="T43" s="23"/>
    </row>
    <row r="44" spans="2:20" ht="16.2" thickBot="1" x14ac:dyDescent="0.35">
      <c r="B44" s="27"/>
      <c r="C44" s="28"/>
      <c r="D44" s="28"/>
      <c r="E44" s="28"/>
      <c r="F44" s="28"/>
      <c r="G44" s="28"/>
      <c r="H44" s="48"/>
      <c r="I44" s="48"/>
      <c r="J44" s="28"/>
      <c r="K44" s="28"/>
      <c r="L44" s="28"/>
      <c r="M44" s="28"/>
      <c r="N44" s="28"/>
      <c r="O44" s="28"/>
      <c r="P44" s="28"/>
      <c r="Q44" s="28"/>
      <c r="R44" s="28"/>
      <c r="S44" s="28"/>
      <c r="T44" s="29"/>
    </row>
    <row r="45" spans="2:20" ht="90" x14ac:dyDescent="0.3">
      <c r="B45" s="111" t="s">
        <v>167</v>
      </c>
      <c r="C45" s="7" t="s">
        <v>164</v>
      </c>
      <c r="D45" s="7"/>
      <c r="E45" s="7"/>
      <c r="F45" s="26">
        <v>1</v>
      </c>
      <c r="G45" s="26" t="s">
        <v>116</v>
      </c>
      <c r="H45" s="47" t="s">
        <v>84</v>
      </c>
      <c r="I45" s="7">
        <v>1</v>
      </c>
      <c r="J45" s="26"/>
      <c r="K45" s="26"/>
      <c r="L45" s="7"/>
      <c r="M45" s="7"/>
      <c r="N45" s="7"/>
      <c r="O45" s="7"/>
      <c r="P45" s="7"/>
      <c r="Q45" s="7"/>
      <c r="R45" s="7"/>
      <c r="S45" s="7"/>
      <c r="T45" s="25"/>
    </row>
    <row r="46" spans="2:20" ht="60" x14ac:dyDescent="0.3">
      <c r="B46" s="109"/>
      <c r="C46" s="7" t="s">
        <v>165</v>
      </c>
      <c r="D46" s="7"/>
      <c r="E46" s="7"/>
      <c r="F46" s="26">
        <v>1</v>
      </c>
      <c r="G46" s="26" t="s">
        <v>116</v>
      </c>
      <c r="H46" s="47" t="s">
        <v>84</v>
      </c>
      <c r="I46" s="7">
        <v>2</v>
      </c>
      <c r="J46" s="26"/>
      <c r="K46" s="26"/>
      <c r="L46" s="7"/>
      <c r="M46" s="7"/>
      <c r="N46" s="7"/>
      <c r="O46" s="7"/>
      <c r="P46" s="7"/>
      <c r="Q46" s="7"/>
      <c r="R46" s="7"/>
      <c r="S46" s="7"/>
      <c r="T46" s="25"/>
    </row>
    <row r="47" spans="2:20" ht="105.6" thickBot="1" x14ac:dyDescent="0.35">
      <c r="B47" s="110"/>
      <c r="C47" s="45" t="s">
        <v>166</v>
      </c>
      <c r="D47" s="45"/>
      <c r="E47" s="45"/>
      <c r="F47" s="46">
        <v>1</v>
      </c>
      <c r="G47" s="26" t="s">
        <v>116</v>
      </c>
      <c r="H47" s="71" t="s">
        <v>84</v>
      </c>
      <c r="I47" s="45">
        <v>2</v>
      </c>
      <c r="J47" s="46"/>
      <c r="K47" s="46"/>
      <c r="L47" s="45"/>
      <c r="M47" s="45"/>
      <c r="N47" s="45"/>
      <c r="O47" s="45"/>
      <c r="P47" s="45"/>
      <c r="Q47" s="45"/>
      <c r="R47" s="45"/>
      <c r="S47" s="45"/>
      <c r="T47" s="44"/>
    </row>
    <row r="49" spans="3:9" ht="15" thickBot="1" x14ac:dyDescent="0.35"/>
    <row r="50" spans="3:9" ht="16.2" thickBot="1" x14ac:dyDescent="0.35">
      <c r="C50" s="3" t="s">
        <v>55</v>
      </c>
      <c r="D50" s="3"/>
      <c r="E50" s="11"/>
      <c r="F50" s="12">
        <f>SUM(F6,F40)</f>
        <v>39</v>
      </c>
      <c r="G50" s="4"/>
      <c r="H50" s="62" t="s">
        <v>293</v>
      </c>
      <c r="I50" s="63">
        <f>SUM(I7:I47)</f>
        <v>57</v>
      </c>
    </row>
    <row r="51" spans="3:9" ht="16.2" thickBot="1" x14ac:dyDescent="0.35">
      <c r="C51" s="4"/>
      <c r="D51" s="4"/>
      <c r="E51" s="4"/>
      <c r="F51" s="4"/>
      <c r="G51" s="4"/>
      <c r="H51" s="64" t="s">
        <v>294</v>
      </c>
      <c r="I51" s="65">
        <f>I50/8</f>
        <v>7.125</v>
      </c>
    </row>
  </sheetData>
  <mergeCells count="17">
    <mergeCell ref="D16:D18"/>
    <mergeCell ref="B2:T2"/>
    <mergeCell ref="C3:J3"/>
    <mergeCell ref="C5:E5"/>
    <mergeCell ref="B41:B43"/>
    <mergeCell ref="B45:B47"/>
    <mergeCell ref="C7:C8"/>
    <mergeCell ref="D19:D22"/>
    <mergeCell ref="D23:D25"/>
    <mergeCell ref="C9:C26"/>
    <mergeCell ref="C27:C31"/>
    <mergeCell ref="C41:C43"/>
    <mergeCell ref="B7:B31"/>
    <mergeCell ref="B33:B39"/>
    <mergeCell ref="D9:D10"/>
    <mergeCell ref="D11:D12"/>
    <mergeCell ref="D13:D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F2D52-D1CB-4586-8CCF-D674271BE15A}">
  <dimension ref="B2:T129"/>
  <sheetViews>
    <sheetView topLeftCell="C4" zoomScaleNormal="100" workbookViewId="0">
      <selection activeCell="G17" sqref="G17"/>
    </sheetView>
  </sheetViews>
  <sheetFormatPr baseColWidth="10" defaultRowHeight="14.4" x14ac:dyDescent="0.3"/>
  <cols>
    <col min="2" max="2" width="23.88671875" bestFit="1" customWidth="1"/>
    <col min="3" max="3" width="73" bestFit="1" customWidth="1"/>
    <col min="4" max="4" width="42.6640625" bestFit="1" customWidth="1"/>
    <col min="5" max="5" width="26" bestFit="1" customWidth="1"/>
    <col min="6" max="6" width="12.21875" bestFit="1" customWidth="1"/>
    <col min="7" max="7" width="15.21875" bestFit="1" customWidth="1"/>
    <col min="8" max="8" width="11.109375" bestFit="1" customWidth="1"/>
    <col min="9" max="9" width="11.33203125" bestFit="1" customWidth="1"/>
    <col min="10" max="18" width="6.44140625" customWidth="1"/>
    <col min="19" max="19" width="7.77734375" customWidth="1"/>
    <col min="20" max="20" width="11.88671875" bestFit="1" customWidth="1"/>
  </cols>
  <sheetData>
    <row r="2" spans="2:20" ht="21" x14ac:dyDescent="0.3">
      <c r="B2" s="103" t="s">
        <v>361</v>
      </c>
      <c r="C2" s="103"/>
      <c r="D2" s="103"/>
      <c r="E2" s="103"/>
      <c r="F2" s="103"/>
      <c r="G2" s="103"/>
      <c r="H2" s="103"/>
      <c r="I2" s="103"/>
      <c r="J2" s="103"/>
      <c r="K2" s="103"/>
      <c r="L2" s="103"/>
      <c r="M2" s="103"/>
      <c r="N2" s="103"/>
      <c r="O2" s="103"/>
      <c r="P2" s="103"/>
      <c r="Q2" s="103"/>
      <c r="R2" s="103"/>
      <c r="S2" s="103"/>
      <c r="T2" s="103"/>
    </row>
    <row r="3" spans="2:20" ht="21" x14ac:dyDescent="0.3">
      <c r="B3" s="5" t="s">
        <v>35</v>
      </c>
      <c r="C3" s="104" t="s">
        <v>354</v>
      </c>
      <c r="D3" s="105"/>
      <c r="E3" s="105"/>
      <c r="F3" s="105"/>
      <c r="G3" s="105"/>
      <c r="H3" s="105"/>
      <c r="I3" s="105"/>
      <c r="J3" s="105"/>
      <c r="K3" s="4"/>
      <c r="L3" s="4"/>
      <c r="M3" s="4"/>
      <c r="N3" s="4"/>
      <c r="O3" s="4"/>
      <c r="P3" s="4"/>
      <c r="Q3" s="4"/>
      <c r="R3" s="4"/>
      <c r="S3" s="4"/>
      <c r="T3" s="4"/>
    </row>
    <row r="4" spans="2:20" ht="15" thickBot="1" x14ac:dyDescent="0.35">
      <c r="B4" s="4"/>
      <c r="C4" s="4"/>
      <c r="D4" s="4"/>
      <c r="E4" s="4"/>
      <c r="F4" s="4"/>
      <c r="G4" s="4"/>
      <c r="H4" s="4"/>
      <c r="I4" s="4"/>
      <c r="J4" s="4"/>
      <c r="K4" s="4"/>
      <c r="L4" s="4"/>
      <c r="M4" s="4"/>
      <c r="N4" s="4"/>
      <c r="O4" s="4"/>
      <c r="P4" s="4"/>
      <c r="Q4" s="4"/>
      <c r="R4" s="4"/>
      <c r="S4" s="4"/>
      <c r="T4" s="4"/>
    </row>
    <row r="5" spans="2:20" ht="36.6" thickBot="1" x14ac:dyDescent="0.35">
      <c r="B5" s="40" t="s">
        <v>36</v>
      </c>
      <c r="C5" s="97" t="s">
        <v>21</v>
      </c>
      <c r="D5" s="98"/>
      <c r="E5" s="98"/>
      <c r="F5" s="42" t="s">
        <v>37</v>
      </c>
      <c r="G5" s="41" t="s">
        <v>38</v>
      </c>
      <c r="H5" s="42" t="s">
        <v>3</v>
      </c>
      <c r="I5" s="42" t="s">
        <v>39</v>
      </c>
      <c r="J5" s="42" t="s">
        <v>40</v>
      </c>
      <c r="K5" s="42" t="s">
        <v>41</v>
      </c>
      <c r="L5" s="42" t="s">
        <v>42</v>
      </c>
      <c r="M5" s="42" t="s">
        <v>43</v>
      </c>
      <c r="N5" s="42" t="s">
        <v>44</v>
      </c>
      <c r="O5" s="42" t="s">
        <v>45</v>
      </c>
      <c r="P5" s="42" t="s">
        <v>46</v>
      </c>
      <c r="Q5" s="42" t="s">
        <v>47</v>
      </c>
      <c r="R5" s="42" t="s">
        <v>48</v>
      </c>
      <c r="S5" s="42" t="s">
        <v>49</v>
      </c>
      <c r="T5" s="42" t="s">
        <v>50</v>
      </c>
    </row>
    <row r="6" spans="2:20" ht="21" x14ac:dyDescent="0.3">
      <c r="B6" s="51" t="s">
        <v>19</v>
      </c>
      <c r="C6" s="35"/>
      <c r="D6" s="35"/>
      <c r="E6" s="35"/>
      <c r="F6" s="35">
        <f>SUM(F7:F44)</f>
        <v>38</v>
      </c>
      <c r="G6" s="35"/>
      <c r="H6" s="43"/>
      <c r="I6" s="43"/>
      <c r="J6" s="35"/>
      <c r="K6" s="35"/>
      <c r="L6" s="35"/>
      <c r="M6" s="35"/>
      <c r="N6" s="35"/>
      <c r="O6" s="35"/>
      <c r="P6" s="35"/>
      <c r="Q6" s="35"/>
      <c r="R6" s="35"/>
      <c r="S6" s="35"/>
      <c r="T6" s="37"/>
    </row>
    <row r="7" spans="2:20" ht="15.6" thickBot="1" x14ac:dyDescent="0.35">
      <c r="B7" s="111" t="s">
        <v>120</v>
      </c>
      <c r="C7" s="101" t="s">
        <v>330</v>
      </c>
      <c r="D7" s="7" t="s">
        <v>329</v>
      </c>
      <c r="E7" s="7"/>
      <c r="F7" s="7">
        <v>1</v>
      </c>
      <c r="G7" s="26" t="s">
        <v>116</v>
      </c>
      <c r="H7" s="71" t="s">
        <v>84</v>
      </c>
      <c r="I7" s="7">
        <v>1</v>
      </c>
      <c r="J7" s="7"/>
      <c r="K7" s="7"/>
      <c r="L7" s="7"/>
      <c r="M7" s="7"/>
      <c r="N7" s="7"/>
      <c r="O7" s="7"/>
      <c r="P7" s="7"/>
      <c r="Q7" s="7"/>
      <c r="R7" s="7"/>
      <c r="S7" s="7"/>
      <c r="T7" s="25"/>
    </row>
    <row r="8" spans="2:20" ht="15.6" thickBot="1" x14ac:dyDescent="0.35">
      <c r="B8" s="109"/>
      <c r="C8" s="101"/>
      <c r="D8" s="7" t="s">
        <v>328</v>
      </c>
      <c r="E8" s="7"/>
      <c r="F8" s="7">
        <v>1</v>
      </c>
      <c r="G8" s="26" t="s">
        <v>116</v>
      </c>
      <c r="H8" s="71" t="s">
        <v>84</v>
      </c>
      <c r="I8" s="7">
        <v>1</v>
      </c>
      <c r="J8" s="7"/>
      <c r="K8" s="7"/>
      <c r="L8" s="7"/>
      <c r="M8" s="7"/>
      <c r="N8" s="7"/>
      <c r="O8" s="7"/>
      <c r="P8" s="7"/>
      <c r="Q8" s="7"/>
      <c r="R8" s="7"/>
      <c r="S8" s="7"/>
      <c r="T8" s="25"/>
    </row>
    <row r="9" spans="2:20" ht="15.6" thickBot="1" x14ac:dyDescent="0.35">
      <c r="B9" s="109"/>
      <c r="C9" s="101"/>
      <c r="D9" s="7" t="s">
        <v>327</v>
      </c>
      <c r="E9" s="7"/>
      <c r="F9" s="7">
        <v>1</v>
      </c>
      <c r="G9" s="26" t="s">
        <v>116</v>
      </c>
      <c r="H9" s="71" t="s">
        <v>84</v>
      </c>
      <c r="I9" s="7">
        <v>1</v>
      </c>
      <c r="J9" s="7"/>
      <c r="K9" s="7"/>
      <c r="L9" s="7"/>
      <c r="M9" s="7"/>
      <c r="N9" s="7"/>
      <c r="O9" s="7"/>
      <c r="P9" s="7"/>
      <c r="Q9" s="7"/>
      <c r="R9" s="7"/>
      <c r="S9" s="7"/>
      <c r="T9" s="25"/>
    </row>
    <row r="10" spans="2:20" ht="15.6" thickBot="1" x14ac:dyDescent="0.35">
      <c r="B10" s="106"/>
      <c r="C10" s="101"/>
      <c r="D10" s="7" t="s">
        <v>326</v>
      </c>
      <c r="E10" s="7"/>
      <c r="F10" s="7">
        <v>1</v>
      </c>
      <c r="G10" s="26" t="s">
        <v>116</v>
      </c>
      <c r="H10" s="71" t="s">
        <v>84</v>
      </c>
      <c r="I10" s="7">
        <v>1</v>
      </c>
      <c r="J10" s="7"/>
      <c r="K10" s="7"/>
      <c r="L10" s="7"/>
      <c r="M10" s="7"/>
      <c r="N10" s="7"/>
      <c r="O10" s="7"/>
      <c r="P10" s="7"/>
      <c r="Q10" s="7"/>
      <c r="R10" s="7"/>
      <c r="S10" s="7"/>
      <c r="T10" s="25"/>
    </row>
    <row r="11" spans="2:20" ht="16.2" thickBot="1" x14ac:dyDescent="0.35">
      <c r="B11" s="27"/>
      <c r="C11" s="68"/>
      <c r="D11" s="68"/>
      <c r="E11" s="28"/>
      <c r="F11" s="28"/>
      <c r="G11" s="28"/>
      <c r="H11" s="48"/>
      <c r="I11" s="48"/>
      <c r="J11" s="28"/>
      <c r="K11" s="28"/>
      <c r="L11" s="28"/>
      <c r="M11" s="28"/>
      <c r="N11" s="28"/>
      <c r="O11" s="28"/>
      <c r="P11" s="28"/>
      <c r="Q11" s="28"/>
      <c r="R11" s="28"/>
      <c r="S11" s="28"/>
      <c r="T11" s="29"/>
    </row>
    <row r="12" spans="2:20" ht="15.6" thickBot="1" x14ac:dyDescent="0.35">
      <c r="B12" s="112" t="s">
        <v>160</v>
      </c>
      <c r="C12" s="115" t="s">
        <v>325</v>
      </c>
      <c r="D12" s="7" t="s">
        <v>324</v>
      </c>
      <c r="E12" s="7"/>
      <c r="F12" s="7">
        <v>1</v>
      </c>
      <c r="G12" s="26" t="s">
        <v>116</v>
      </c>
      <c r="H12" s="71" t="s">
        <v>84</v>
      </c>
      <c r="I12" s="7">
        <v>1</v>
      </c>
      <c r="J12" s="7"/>
      <c r="K12" s="7"/>
      <c r="L12" s="7"/>
      <c r="M12" s="7"/>
      <c r="N12" s="7"/>
      <c r="O12" s="7"/>
      <c r="P12" s="7"/>
      <c r="Q12" s="7"/>
      <c r="R12" s="7"/>
      <c r="S12" s="7"/>
      <c r="T12" s="25"/>
    </row>
    <row r="13" spans="2:20" ht="15.6" thickBot="1" x14ac:dyDescent="0.35">
      <c r="B13" s="109"/>
      <c r="C13" s="115"/>
      <c r="D13" s="7" t="s">
        <v>323</v>
      </c>
      <c r="E13" s="7"/>
      <c r="F13" s="7">
        <v>1</v>
      </c>
      <c r="G13" s="26" t="s">
        <v>116</v>
      </c>
      <c r="H13" s="71" t="s">
        <v>84</v>
      </c>
      <c r="I13" s="7">
        <v>1</v>
      </c>
      <c r="J13" s="7"/>
      <c r="K13" s="7"/>
      <c r="L13" s="7"/>
      <c r="M13" s="7"/>
      <c r="N13" s="7"/>
      <c r="O13" s="7"/>
      <c r="P13" s="7"/>
      <c r="Q13" s="7"/>
      <c r="R13" s="7"/>
      <c r="S13" s="7"/>
      <c r="T13" s="25"/>
    </row>
    <row r="14" spans="2:20" ht="15.6" thickBot="1" x14ac:dyDescent="0.35">
      <c r="B14" s="109"/>
      <c r="C14" s="115"/>
      <c r="D14" s="7" t="s">
        <v>247</v>
      </c>
      <c r="E14" s="7"/>
      <c r="F14" s="7">
        <v>1</v>
      </c>
      <c r="G14" s="26" t="s">
        <v>116</v>
      </c>
      <c r="H14" s="71" t="s">
        <v>84</v>
      </c>
      <c r="I14" s="7">
        <v>1</v>
      </c>
      <c r="J14" s="7"/>
      <c r="K14" s="7"/>
      <c r="L14" s="7"/>
      <c r="M14" s="7"/>
      <c r="N14" s="7"/>
      <c r="O14" s="7"/>
      <c r="P14" s="7"/>
      <c r="Q14" s="7"/>
      <c r="R14" s="7"/>
      <c r="S14" s="7"/>
      <c r="T14" s="25"/>
    </row>
    <row r="15" spans="2:20" ht="15.6" thickBot="1" x14ac:dyDescent="0.35">
      <c r="B15" s="109"/>
      <c r="C15" s="115"/>
      <c r="D15" s="92" t="s">
        <v>322</v>
      </c>
      <c r="E15" s="7" t="s">
        <v>123</v>
      </c>
      <c r="F15" s="7">
        <v>1</v>
      </c>
      <c r="G15" s="26" t="s">
        <v>116</v>
      </c>
      <c r="H15" s="71" t="s">
        <v>84</v>
      </c>
      <c r="I15" s="7">
        <v>1</v>
      </c>
      <c r="J15" s="7"/>
      <c r="K15" s="7"/>
      <c r="L15" s="7"/>
      <c r="M15" s="7"/>
      <c r="N15" s="7"/>
      <c r="O15" s="7"/>
      <c r="P15" s="7"/>
      <c r="Q15" s="7"/>
      <c r="R15" s="7"/>
      <c r="S15" s="7"/>
      <c r="T15" s="25"/>
    </row>
    <row r="16" spans="2:20" ht="28.8" customHeight="1" thickBot="1" x14ac:dyDescent="0.35">
      <c r="B16" s="109"/>
      <c r="C16" s="115"/>
      <c r="D16" s="92"/>
      <c r="E16" s="7" t="s">
        <v>124</v>
      </c>
      <c r="F16" s="7">
        <v>1</v>
      </c>
      <c r="G16" s="26" t="s">
        <v>116</v>
      </c>
      <c r="H16" s="71" t="s">
        <v>84</v>
      </c>
      <c r="I16" s="7">
        <v>1</v>
      </c>
      <c r="J16" s="7"/>
      <c r="K16" s="7"/>
      <c r="L16" s="7"/>
      <c r="M16" s="7"/>
      <c r="N16" s="7"/>
      <c r="O16" s="7"/>
      <c r="P16" s="7"/>
      <c r="Q16" s="7"/>
      <c r="R16" s="7"/>
      <c r="S16" s="7"/>
      <c r="T16" s="25"/>
    </row>
    <row r="17" spans="2:20" ht="15.6" thickBot="1" x14ac:dyDescent="0.35">
      <c r="B17" s="109"/>
      <c r="C17" s="115"/>
      <c r="D17" s="92"/>
      <c r="E17" s="7" t="s">
        <v>319</v>
      </c>
      <c r="F17" s="7">
        <v>1</v>
      </c>
      <c r="G17" s="26" t="s">
        <v>116</v>
      </c>
      <c r="H17" s="71" t="s">
        <v>84</v>
      </c>
      <c r="I17" s="7">
        <v>1</v>
      </c>
      <c r="J17" s="7"/>
      <c r="K17" s="7"/>
      <c r="L17" s="7"/>
      <c r="M17" s="7"/>
      <c r="N17" s="7"/>
      <c r="O17" s="7"/>
      <c r="P17" s="7"/>
      <c r="Q17" s="7"/>
      <c r="R17" s="7"/>
      <c r="S17" s="7"/>
      <c r="T17" s="25"/>
    </row>
    <row r="18" spans="2:20" ht="30.6" thickBot="1" x14ac:dyDescent="0.35">
      <c r="B18" s="109"/>
      <c r="C18" s="115"/>
      <c r="D18" s="92"/>
      <c r="E18" s="7" t="s">
        <v>321</v>
      </c>
      <c r="F18" s="7">
        <v>1</v>
      </c>
      <c r="G18" s="26" t="s">
        <v>116</v>
      </c>
      <c r="H18" s="71" t="s">
        <v>84</v>
      </c>
      <c r="I18" s="7">
        <v>1</v>
      </c>
      <c r="J18" s="7"/>
      <c r="K18" s="7"/>
      <c r="L18" s="7"/>
      <c r="M18" s="7"/>
      <c r="N18" s="7"/>
      <c r="O18" s="7"/>
      <c r="P18" s="7"/>
      <c r="Q18" s="7"/>
      <c r="R18" s="7"/>
      <c r="S18" s="7"/>
      <c r="T18" s="25"/>
    </row>
    <row r="19" spans="2:20" ht="15.6" thickBot="1" x14ac:dyDescent="0.35">
      <c r="B19" s="109"/>
      <c r="C19" s="115"/>
      <c r="D19" s="92" t="s">
        <v>320</v>
      </c>
      <c r="E19" s="7" t="s">
        <v>123</v>
      </c>
      <c r="F19" s="7">
        <v>1</v>
      </c>
      <c r="G19" s="26" t="s">
        <v>116</v>
      </c>
      <c r="H19" s="71" t="s">
        <v>84</v>
      </c>
      <c r="I19" s="7">
        <v>1</v>
      </c>
      <c r="J19" s="7"/>
      <c r="K19" s="7"/>
      <c r="L19" s="7"/>
      <c r="M19" s="7"/>
      <c r="N19" s="7"/>
      <c r="O19" s="7"/>
      <c r="P19" s="7"/>
      <c r="Q19" s="7"/>
      <c r="R19" s="7"/>
      <c r="S19" s="7"/>
      <c r="T19" s="25"/>
    </row>
    <row r="20" spans="2:20" ht="43.2" customHeight="1" thickBot="1" x14ac:dyDescent="0.35">
      <c r="B20" s="109"/>
      <c r="C20" s="115"/>
      <c r="D20" s="92"/>
      <c r="E20" s="7" t="s">
        <v>124</v>
      </c>
      <c r="F20" s="7">
        <v>1</v>
      </c>
      <c r="G20" s="26" t="s">
        <v>116</v>
      </c>
      <c r="H20" s="71" t="s">
        <v>84</v>
      </c>
      <c r="I20" s="7">
        <v>1</v>
      </c>
      <c r="J20" s="7"/>
      <c r="K20" s="7"/>
      <c r="L20" s="7"/>
      <c r="M20" s="7"/>
      <c r="N20" s="7"/>
      <c r="O20" s="7"/>
      <c r="P20" s="7"/>
      <c r="Q20" s="7"/>
      <c r="R20" s="7"/>
      <c r="S20" s="7"/>
      <c r="T20" s="25"/>
    </row>
    <row r="21" spans="2:20" ht="15.6" thickBot="1" x14ac:dyDescent="0.35">
      <c r="B21" s="109"/>
      <c r="C21" s="115"/>
      <c r="D21" s="92"/>
      <c r="E21" s="7" t="s">
        <v>319</v>
      </c>
      <c r="F21" s="7">
        <v>1</v>
      </c>
      <c r="G21" s="26" t="s">
        <v>116</v>
      </c>
      <c r="H21" s="71" t="s">
        <v>84</v>
      </c>
      <c r="I21" s="7">
        <v>1</v>
      </c>
      <c r="J21" s="7"/>
      <c r="K21" s="7"/>
      <c r="L21" s="7"/>
      <c r="M21" s="7"/>
      <c r="N21" s="7"/>
      <c r="O21" s="7"/>
      <c r="P21" s="7"/>
      <c r="Q21" s="7"/>
      <c r="R21" s="7"/>
      <c r="S21" s="7"/>
      <c r="T21" s="25"/>
    </row>
    <row r="22" spans="2:20" ht="30.6" thickBot="1" x14ac:dyDescent="0.35">
      <c r="B22" s="109"/>
      <c r="C22" s="115"/>
      <c r="D22" s="92"/>
      <c r="E22" s="7" t="s">
        <v>318</v>
      </c>
      <c r="F22" s="7">
        <v>1</v>
      </c>
      <c r="G22" s="26" t="s">
        <v>116</v>
      </c>
      <c r="H22" s="71" t="s">
        <v>84</v>
      </c>
      <c r="I22" s="7">
        <v>1</v>
      </c>
      <c r="J22" s="7"/>
      <c r="K22" s="7"/>
      <c r="L22" s="7"/>
      <c r="M22" s="7"/>
      <c r="N22" s="7"/>
      <c r="O22" s="7"/>
      <c r="P22" s="7"/>
      <c r="Q22" s="7"/>
      <c r="R22" s="7"/>
      <c r="S22" s="7"/>
      <c r="T22" s="25"/>
    </row>
    <row r="23" spans="2:20" ht="15.6" thickBot="1" x14ac:dyDescent="0.35">
      <c r="B23" s="109"/>
      <c r="C23" s="113" t="s">
        <v>317</v>
      </c>
      <c r="D23" s="10" t="s">
        <v>316</v>
      </c>
      <c r="E23" s="7"/>
      <c r="F23" s="7">
        <v>1</v>
      </c>
      <c r="G23" s="26" t="s">
        <v>116</v>
      </c>
      <c r="H23" s="71" t="s">
        <v>84</v>
      </c>
      <c r="I23" s="7">
        <v>1</v>
      </c>
      <c r="J23" s="7"/>
      <c r="K23" s="7"/>
      <c r="L23" s="7"/>
      <c r="M23" s="7"/>
      <c r="N23" s="7"/>
      <c r="O23" s="7"/>
      <c r="P23" s="7"/>
      <c r="Q23" s="7"/>
      <c r="R23" s="7"/>
      <c r="S23" s="7"/>
      <c r="T23" s="25"/>
    </row>
    <row r="24" spans="2:20" ht="15.6" thickBot="1" x14ac:dyDescent="0.35">
      <c r="B24" s="109"/>
      <c r="C24" s="114"/>
      <c r="D24" s="7" t="s">
        <v>315</v>
      </c>
      <c r="E24" s="7"/>
      <c r="F24" s="7">
        <v>1</v>
      </c>
      <c r="G24" s="26" t="s">
        <v>116</v>
      </c>
      <c r="H24" s="71" t="s">
        <v>84</v>
      </c>
      <c r="I24" s="7">
        <v>1</v>
      </c>
      <c r="J24" s="7"/>
      <c r="K24" s="7"/>
      <c r="L24" s="7"/>
      <c r="M24" s="7"/>
      <c r="N24" s="7"/>
      <c r="O24" s="7"/>
      <c r="P24" s="7"/>
      <c r="Q24" s="7"/>
      <c r="R24" s="7"/>
      <c r="S24" s="7"/>
      <c r="T24" s="25"/>
    </row>
    <row r="25" spans="2:20" ht="15.6" thickBot="1" x14ac:dyDescent="0.35">
      <c r="B25" s="109"/>
      <c r="C25" s="114"/>
      <c r="D25" s="7" t="s">
        <v>314</v>
      </c>
      <c r="E25" s="7"/>
      <c r="F25" s="7">
        <v>1</v>
      </c>
      <c r="G25" s="26" t="s">
        <v>116</v>
      </c>
      <c r="H25" s="71" t="s">
        <v>84</v>
      </c>
      <c r="I25" s="7">
        <v>1</v>
      </c>
      <c r="J25" s="7"/>
      <c r="K25" s="7"/>
      <c r="L25" s="7"/>
      <c r="M25" s="7"/>
      <c r="N25" s="7"/>
      <c r="O25" s="7"/>
      <c r="P25" s="7"/>
      <c r="Q25" s="7"/>
      <c r="R25" s="7"/>
      <c r="S25" s="7"/>
      <c r="T25" s="25"/>
    </row>
    <row r="26" spans="2:20" ht="15.6" thickBot="1" x14ac:dyDescent="0.35">
      <c r="B26" s="109"/>
      <c r="C26" s="114"/>
      <c r="D26" s="7" t="s">
        <v>313</v>
      </c>
      <c r="E26" s="7"/>
      <c r="F26" s="7">
        <v>1</v>
      </c>
      <c r="G26" s="26" t="s">
        <v>116</v>
      </c>
      <c r="H26" s="71" t="s">
        <v>84</v>
      </c>
      <c r="I26" s="7">
        <v>1</v>
      </c>
      <c r="J26" s="7"/>
      <c r="K26" s="7"/>
      <c r="L26" s="7"/>
      <c r="M26" s="7"/>
      <c r="N26" s="7"/>
      <c r="O26" s="7"/>
      <c r="P26" s="7"/>
      <c r="Q26" s="7"/>
      <c r="R26" s="7"/>
      <c r="S26" s="7"/>
      <c r="T26" s="25"/>
    </row>
    <row r="27" spans="2:20" ht="15.6" thickBot="1" x14ac:dyDescent="0.35">
      <c r="B27" s="109"/>
      <c r="C27" s="114"/>
      <c r="D27" s="7" t="s">
        <v>312</v>
      </c>
      <c r="E27" s="7"/>
      <c r="F27" s="7">
        <v>1</v>
      </c>
      <c r="G27" s="26" t="s">
        <v>116</v>
      </c>
      <c r="H27" s="71" t="s">
        <v>84</v>
      </c>
      <c r="I27" s="7">
        <v>1</v>
      </c>
      <c r="J27" s="7"/>
      <c r="K27" s="7"/>
      <c r="L27" s="7"/>
      <c r="M27" s="7"/>
      <c r="N27" s="7"/>
      <c r="O27" s="7"/>
      <c r="P27" s="7"/>
      <c r="Q27" s="7"/>
      <c r="R27" s="7"/>
      <c r="S27" s="7"/>
      <c r="T27" s="25"/>
    </row>
    <row r="28" spans="2:20" ht="30.6" thickBot="1" x14ac:dyDescent="0.35">
      <c r="B28" s="109"/>
      <c r="C28" s="115" t="s">
        <v>311</v>
      </c>
      <c r="D28" s="7" t="s">
        <v>310</v>
      </c>
      <c r="E28" s="7"/>
      <c r="F28" s="7">
        <v>1</v>
      </c>
      <c r="G28" s="26" t="s">
        <v>116</v>
      </c>
      <c r="H28" s="71" t="s">
        <v>84</v>
      </c>
      <c r="I28" s="7">
        <v>2</v>
      </c>
      <c r="J28" s="7"/>
      <c r="K28" s="7"/>
      <c r="L28" s="7"/>
      <c r="M28" s="7"/>
      <c r="N28" s="7"/>
      <c r="O28" s="7"/>
      <c r="P28" s="7"/>
      <c r="Q28" s="7"/>
      <c r="R28" s="7"/>
      <c r="S28" s="7"/>
      <c r="T28" s="25"/>
    </row>
    <row r="29" spans="2:20" ht="30.6" thickBot="1" x14ac:dyDescent="0.35">
      <c r="B29" s="109"/>
      <c r="C29" s="115"/>
      <c r="D29" s="7" t="s">
        <v>309</v>
      </c>
      <c r="E29" s="7"/>
      <c r="F29" s="7">
        <v>1</v>
      </c>
      <c r="G29" s="26" t="s">
        <v>116</v>
      </c>
      <c r="H29" s="71" t="s">
        <v>84</v>
      </c>
      <c r="I29" s="7">
        <v>1</v>
      </c>
      <c r="J29" s="7"/>
      <c r="K29" s="7"/>
      <c r="L29" s="7"/>
      <c r="M29" s="7"/>
      <c r="N29" s="7"/>
      <c r="O29" s="7"/>
      <c r="P29" s="7"/>
      <c r="Q29" s="7"/>
      <c r="R29" s="7"/>
      <c r="S29" s="7"/>
      <c r="T29" s="25"/>
    </row>
    <row r="30" spans="2:20" ht="15.6" thickBot="1" x14ac:dyDescent="0.35">
      <c r="B30" s="109"/>
      <c r="C30" s="115"/>
      <c r="D30" s="7" t="s">
        <v>308</v>
      </c>
      <c r="E30" s="7"/>
      <c r="F30" s="7">
        <v>1</v>
      </c>
      <c r="G30" s="26" t="s">
        <v>116</v>
      </c>
      <c r="H30" s="71" t="s">
        <v>84</v>
      </c>
      <c r="I30" s="7">
        <v>1</v>
      </c>
      <c r="J30" s="7"/>
      <c r="K30" s="7"/>
      <c r="L30" s="7"/>
      <c r="M30" s="7"/>
      <c r="N30" s="7"/>
      <c r="O30" s="7"/>
      <c r="P30" s="7"/>
      <c r="Q30" s="7"/>
      <c r="R30" s="7"/>
      <c r="S30" s="7"/>
      <c r="T30" s="25"/>
    </row>
    <row r="31" spans="2:20" ht="60.6" thickBot="1" x14ac:dyDescent="0.35">
      <c r="B31" s="109"/>
      <c r="C31" s="115"/>
      <c r="D31" s="7" t="s">
        <v>307</v>
      </c>
      <c r="E31" s="7" t="s">
        <v>306</v>
      </c>
      <c r="F31" s="7">
        <v>1</v>
      </c>
      <c r="G31" s="26" t="s">
        <v>116</v>
      </c>
      <c r="H31" s="71" t="s">
        <v>84</v>
      </c>
      <c r="I31" s="7">
        <v>1</v>
      </c>
      <c r="J31" s="7"/>
      <c r="K31" s="7"/>
      <c r="L31" s="7"/>
      <c r="M31" s="7"/>
      <c r="N31" s="7"/>
      <c r="O31" s="7"/>
      <c r="P31" s="7"/>
      <c r="Q31" s="7"/>
      <c r="R31" s="7"/>
      <c r="S31" s="7"/>
      <c r="T31" s="25"/>
    </row>
    <row r="32" spans="2:20" ht="15.6" thickBot="1" x14ac:dyDescent="0.35">
      <c r="B32" s="109"/>
      <c r="C32" s="115"/>
      <c r="D32" s="7" t="s">
        <v>305</v>
      </c>
      <c r="E32" s="7"/>
      <c r="F32" s="7">
        <v>1</v>
      </c>
      <c r="G32" s="26" t="s">
        <v>116</v>
      </c>
      <c r="H32" s="71" t="s">
        <v>84</v>
      </c>
      <c r="I32" s="7">
        <v>2</v>
      </c>
      <c r="J32" s="7"/>
      <c r="K32" s="7"/>
      <c r="L32" s="7"/>
      <c r="M32" s="7"/>
      <c r="N32" s="7"/>
      <c r="O32" s="7"/>
      <c r="P32" s="7"/>
      <c r="Q32" s="7"/>
      <c r="R32" s="7"/>
      <c r="S32" s="7"/>
      <c r="T32" s="25"/>
    </row>
    <row r="33" spans="2:20" ht="15.6" thickBot="1" x14ac:dyDescent="0.35">
      <c r="B33" s="109"/>
      <c r="C33" s="115" t="s">
        <v>304</v>
      </c>
      <c r="D33" s="7" t="s">
        <v>303</v>
      </c>
      <c r="E33" s="7"/>
      <c r="F33" s="7">
        <v>1</v>
      </c>
      <c r="G33" s="26" t="s">
        <v>116</v>
      </c>
      <c r="H33" s="71" t="s">
        <v>84</v>
      </c>
      <c r="I33" s="7">
        <v>1</v>
      </c>
      <c r="J33" s="7"/>
      <c r="K33" s="7"/>
      <c r="L33" s="7"/>
      <c r="M33" s="7"/>
      <c r="N33" s="7"/>
      <c r="O33" s="7"/>
      <c r="P33" s="7"/>
      <c r="Q33" s="7"/>
      <c r="R33" s="7"/>
      <c r="S33" s="7"/>
      <c r="T33" s="25"/>
    </row>
    <row r="34" spans="2:20" ht="30.6" thickBot="1" x14ac:dyDescent="0.35">
      <c r="B34" s="109"/>
      <c r="C34" s="115"/>
      <c r="D34" s="7" t="s">
        <v>302</v>
      </c>
      <c r="E34" s="7"/>
      <c r="F34" s="7">
        <v>1</v>
      </c>
      <c r="G34" s="26" t="s">
        <v>116</v>
      </c>
      <c r="H34" s="71" t="s">
        <v>84</v>
      </c>
      <c r="I34" s="7">
        <v>1</v>
      </c>
      <c r="J34" s="7"/>
      <c r="K34" s="7"/>
      <c r="L34" s="7"/>
      <c r="M34" s="7"/>
      <c r="N34" s="7"/>
      <c r="O34" s="7"/>
      <c r="P34" s="7"/>
      <c r="Q34" s="7"/>
      <c r="R34" s="7"/>
      <c r="S34" s="7"/>
      <c r="T34" s="25"/>
    </row>
    <row r="35" spans="2:20" ht="15.6" thickBot="1" x14ac:dyDescent="0.35">
      <c r="B35" s="109"/>
      <c r="C35" s="115"/>
      <c r="D35" s="7" t="s">
        <v>301</v>
      </c>
      <c r="E35" s="7"/>
      <c r="F35" s="7">
        <v>1</v>
      </c>
      <c r="G35" s="26" t="s">
        <v>116</v>
      </c>
      <c r="H35" s="71" t="s">
        <v>84</v>
      </c>
      <c r="I35" s="7">
        <v>1</v>
      </c>
      <c r="J35" s="7"/>
      <c r="K35" s="7"/>
      <c r="L35" s="7"/>
      <c r="M35" s="7"/>
      <c r="N35" s="7"/>
      <c r="O35" s="7"/>
      <c r="P35" s="7"/>
      <c r="Q35" s="7"/>
      <c r="R35" s="7"/>
      <c r="S35" s="7"/>
      <c r="T35" s="25"/>
    </row>
    <row r="36" spans="2:20" ht="15.6" thickBot="1" x14ac:dyDescent="0.35">
      <c r="B36" s="109"/>
      <c r="C36" s="115"/>
      <c r="D36" s="7" t="s">
        <v>300</v>
      </c>
      <c r="E36" s="7"/>
      <c r="F36" s="7">
        <v>1</v>
      </c>
      <c r="G36" s="26" t="s">
        <v>116</v>
      </c>
      <c r="H36" s="71" t="s">
        <v>84</v>
      </c>
      <c r="I36" s="7">
        <v>1</v>
      </c>
      <c r="J36" s="7"/>
      <c r="K36" s="7"/>
      <c r="L36" s="7"/>
      <c r="M36" s="7"/>
      <c r="N36" s="7"/>
      <c r="O36" s="7"/>
      <c r="P36" s="7"/>
      <c r="Q36" s="7"/>
      <c r="R36" s="7"/>
      <c r="S36" s="7"/>
      <c r="T36" s="25"/>
    </row>
    <row r="37" spans="2:20" ht="15.6" thickBot="1" x14ac:dyDescent="0.35">
      <c r="B37" s="109"/>
      <c r="C37" s="115"/>
      <c r="D37" s="7" t="s">
        <v>299</v>
      </c>
      <c r="E37" s="7"/>
      <c r="F37" s="7">
        <v>1</v>
      </c>
      <c r="G37" s="26" t="s">
        <v>116</v>
      </c>
      <c r="H37" s="71" t="s">
        <v>84</v>
      </c>
      <c r="I37" s="7">
        <v>1</v>
      </c>
      <c r="J37" s="7"/>
      <c r="K37" s="7"/>
      <c r="L37" s="7"/>
      <c r="M37" s="7"/>
      <c r="N37" s="7"/>
      <c r="O37" s="7"/>
      <c r="P37" s="7"/>
      <c r="Q37" s="7"/>
      <c r="R37" s="7"/>
      <c r="S37" s="7"/>
      <c r="T37" s="25"/>
    </row>
    <row r="38" spans="2:20" ht="15.6" thickBot="1" x14ac:dyDescent="0.35">
      <c r="B38" s="109"/>
      <c r="C38" s="115"/>
      <c r="D38" s="7" t="s">
        <v>298</v>
      </c>
      <c r="E38" s="7"/>
      <c r="F38" s="7">
        <v>1</v>
      </c>
      <c r="G38" s="26" t="s">
        <v>116</v>
      </c>
      <c r="H38" s="71" t="s">
        <v>84</v>
      </c>
      <c r="I38" s="7">
        <v>1</v>
      </c>
      <c r="J38" s="7"/>
      <c r="K38" s="7"/>
      <c r="L38" s="7"/>
      <c r="M38" s="7"/>
      <c r="N38" s="7"/>
      <c r="O38" s="7"/>
      <c r="P38" s="7"/>
      <c r="Q38" s="7"/>
      <c r="R38" s="7"/>
      <c r="S38" s="7"/>
      <c r="T38" s="25"/>
    </row>
    <row r="39" spans="2:20" ht="15.6" thickBot="1" x14ac:dyDescent="0.35">
      <c r="B39" s="110"/>
      <c r="C39" s="116"/>
      <c r="D39" s="45" t="s">
        <v>297</v>
      </c>
      <c r="E39" s="45"/>
      <c r="F39" s="45">
        <v>1</v>
      </c>
      <c r="G39" s="26" t="s">
        <v>116</v>
      </c>
      <c r="H39" s="71" t="s">
        <v>84</v>
      </c>
      <c r="I39" s="45">
        <v>1</v>
      </c>
      <c r="J39" s="45"/>
      <c r="K39" s="45"/>
      <c r="L39" s="45"/>
      <c r="M39" s="45"/>
      <c r="N39" s="45"/>
      <c r="O39" s="45"/>
      <c r="P39" s="45"/>
      <c r="Q39" s="45"/>
      <c r="R39" s="45"/>
      <c r="S39" s="45"/>
      <c r="T39" s="44"/>
    </row>
    <row r="40" spans="2:20" ht="16.2" thickBot="1" x14ac:dyDescent="0.35">
      <c r="B40" s="59"/>
      <c r="C40" s="60"/>
      <c r="D40" s="60"/>
      <c r="E40" s="60"/>
      <c r="F40" s="60"/>
      <c r="G40" s="60"/>
      <c r="H40" s="69"/>
      <c r="I40" s="69"/>
      <c r="J40" s="60"/>
      <c r="K40" s="60"/>
      <c r="L40" s="60"/>
      <c r="M40" s="60"/>
      <c r="N40" s="60"/>
      <c r="O40" s="60"/>
      <c r="P40" s="60"/>
      <c r="Q40" s="60"/>
      <c r="R40" s="60"/>
      <c r="S40" s="60"/>
      <c r="T40" s="61"/>
    </row>
    <row r="41" spans="2:20" ht="15.6" thickBot="1" x14ac:dyDescent="0.35">
      <c r="B41" s="112" t="s">
        <v>167</v>
      </c>
      <c r="C41" s="8" t="s">
        <v>222</v>
      </c>
      <c r="D41" s="8"/>
      <c r="E41" s="8"/>
      <c r="F41" s="8">
        <v>2</v>
      </c>
      <c r="G41" s="26" t="s">
        <v>116</v>
      </c>
      <c r="H41" s="71" t="s">
        <v>84</v>
      </c>
      <c r="I41" s="8">
        <v>6</v>
      </c>
      <c r="J41" s="8"/>
      <c r="K41" s="8"/>
      <c r="L41" s="8"/>
      <c r="M41" s="8"/>
      <c r="N41" s="8"/>
      <c r="O41" s="8"/>
      <c r="P41" s="8"/>
      <c r="Q41" s="8"/>
      <c r="R41" s="8"/>
      <c r="S41" s="8"/>
      <c r="T41" s="49"/>
    </row>
    <row r="42" spans="2:20" ht="15.6" thickBot="1" x14ac:dyDescent="0.35">
      <c r="B42" s="109"/>
      <c r="C42" s="7" t="s">
        <v>221</v>
      </c>
      <c r="D42" s="7"/>
      <c r="E42" s="7"/>
      <c r="F42" s="7">
        <v>1</v>
      </c>
      <c r="G42" s="26" t="s">
        <v>116</v>
      </c>
      <c r="H42" s="71" t="s">
        <v>84</v>
      </c>
      <c r="I42" s="7">
        <v>4</v>
      </c>
      <c r="J42" s="7"/>
      <c r="K42" s="7"/>
      <c r="L42" s="7"/>
      <c r="M42" s="7"/>
      <c r="N42" s="7"/>
      <c r="O42" s="7"/>
      <c r="P42" s="7"/>
      <c r="Q42" s="7"/>
      <c r="R42" s="7"/>
      <c r="S42" s="7"/>
      <c r="T42" s="25"/>
    </row>
    <row r="43" spans="2:20" ht="15.6" thickBot="1" x14ac:dyDescent="0.35">
      <c r="B43" s="109"/>
      <c r="C43" s="7" t="s">
        <v>296</v>
      </c>
      <c r="D43" s="7"/>
      <c r="E43" s="7"/>
      <c r="F43" s="7">
        <v>1</v>
      </c>
      <c r="G43" s="26" t="s">
        <v>116</v>
      </c>
      <c r="H43" s="71" t="s">
        <v>84</v>
      </c>
      <c r="I43" s="7">
        <v>4</v>
      </c>
      <c r="J43" s="7"/>
      <c r="K43" s="7"/>
      <c r="L43" s="7"/>
      <c r="M43" s="7"/>
      <c r="N43" s="7"/>
      <c r="O43" s="7"/>
      <c r="P43" s="7"/>
      <c r="Q43" s="7"/>
      <c r="R43" s="7"/>
      <c r="S43" s="7"/>
      <c r="T43" s="25"/>
    </row>
    <row r="44" spans="2:20" ht="15.6" thickBot="1" x14ac:dyDescent="0.35">
      <c r="B44" s="110"/>
      <c r="C44" s="45" t="s">
        <v>295</v>
      </c>
      <c r="D44" s="45"/>
      <c r="E44" s="45"/>
      <c r="F44" s="45">
        <v>2</v>
      </c>
      <c r="G44" s="26" t="s">
        <v>116</v>
      </c>
      <c r="H44" s="71" t="s">
        <v>84</v>
      </c>
      <c r="I44" s="45">
        <v>6</v>
      </c>
      <c r="J44" s="45"/>
      <c r="K44" s="45"/>
      <c r="L44" s="45"/>
      <c r="M44" s="45"/>
      <c r="N44" s="45"/>
      <c r="O44" s="45"/>
      <c r="P44" s="45"/>
      <c r="Q44" s="45"/>
      <c r="R44" s="45"/>
      <c r="S44" s="45"/>
      <c r="T44" s="44"/>
    </row>
    <row r="46" spans="2:20" ht="15" thickBot="1" x14ac:dyDescent="0.35"/>
    <row r="47" spans="2:20" ht="16.2" thickBot="1" x14ac:dyDescent="0.35">
      <c r="C47" s="3" t="s">
        <v>55</v>
      </c>
      <c r="D47" s="3"/>
      <c r="E47" s="11"/>
      <c r="F47" s="12">
        <f>SUM(F6)</f>
        <v>38</v>
      </c>
      <c r="G47" s="4"/>
      <c r="H47" s="62" t="s">
        <v>293</v>
      </c>
      <c r="I47" s="63">
        <f>SUM(I6:I44)</f>
        <v>54</v>
      </c>
    </row>
    <row r="48" spans="2:20" ht="16.2" thickBot="1" x14ac:dyDescent="0.35">
      <c r="C48" s="4"/>
      <c r="D48" s="4"/>
      <c r="E48" s="4"/>
      <c r="F48" s="4"/>
      <c r="G48" s="4"/>
      <c r="H48" s="64" t="s">
        <v>294</v>
      </c>
      <c r="I48" s="65">
        <f>I47/8</f>
        <v>6.75</v>
      </c>
    </row>
    <row r="129" spans="2:20" ht="15.6" x14ac:dyDescent="0.3">
      <c r="B129" s="17"/>
      <c r="C129" s="17"/>
      <c r="D129" s="17"/>
      <c r="E129" s="17"/>
      <c r="F129" s="17"/>
      <c r="G129" s="17"/>
      <c r="H129" s="17"/>
      <c r="I129" s="17"/>
      <c r="J129" s="17"/>
      <c r="K129" s="17"/>
      <c r="L129" s="17"/>
      <c r="M129" s="17"/>
      <c r="N129" s="17"/>
      <c r="O129" s="17"/>
      <c r="P129" s="17"/>
      <c r="Q129" s="17"/>
      <c r="R129" s="17"/>
      <c r="S129" s="17"/>
      <c r="T129" s="17"/>
    </row>
  </sheetData>
  <mergeCells count="13">
    <mergeCell ref="B41:B44"/>
    <mergeCell ref="C23:C27"/>
    <mergeCell ref="C28:C32"/>
    <mergeCell ref="C33:C39"/>
    <mergeCell ref="B12:B39"/>
    <mergeCell ref="C12:C22"/>
    <mergeCell ref="D15:D18"/>
    <mergeCell ref="D19:D22"/>
    <mergeCell ref="B2:T2"/>
    <mergeCell ref="C3:J3"/>
    <mergeCell ref="C5:E5"/>
    <mergeCell ref="C7:C10"/>
    <mergeCell ref="B7:B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AD0E9-C573-464B-9DDA-54B48442E582}">
  <dimension ref="B2:T71"/>
  <sheetViews>
    <sheetView topLeftCell="A53" zoomScale="80" zoomScaleNormal="80" workbookViewId="0">
      <selection activeCell="G66" sqref="G66"/>
    </sheetView>
  </sheetViews>
  <sheetFormatPr baseColWidth="10" defaultRowHeight="14.4" x14ac:dyDescent="0.3"/>
  <cols>
    <col min="2" max="2" width="14.44140625" bestFit="1" customWidth="1"/>
    <col min="3" max="3" width="20.88671875" customWidth="1"/>
    <col min="4" max="4" width="21.5546875" customWidth="1"/>
    <col min="5" max="5" width="20.44140625" customWidth="1"/>
    <col min="6" max="6" width="11.44140625" bestFit="1" customWidth="1"/>
    <col min="7" max="7" width="15" customWidth="1"/>
    <col min="8" max="8" width="11.21875" bestFit="1" customWidth="1"/>
    <col min="9" max="9" width="11.109375" bestFit="1" customWidth="1"/>
    <col min="10" max="18" width="6.44140625" bestFit="1" customWidth="1"/>
    <col min="19" max="19" width="7.77734375" bestFit="1" customWidth="1"/>
    <col min="20" max="20" width="11.21875" bestFit="1" customWidth="1"/>
  </cols>
  <sheetData>
    <row r="2" spans="2:20" ht="21" x14ac:dyDescent="0.3">
      <c r="B2" s="103" t="s">
        <v>362</v>
      </c>
      <c r="C2" s="103"/>
      <c r="D2" s="103"/>
      <c r="E2" s="103"/>
      <c r="F2" s="103"/>
      <c r="G2" s="103"/>
      <c r="H2" s="103"/>
      <c r="I2" s="103"/>
      <c r="J2" s="103"/>
      <c r="K2" s="103"/>
      <c r="L2" s="103"/>
      <c r="M2" s="103"/>
      <c r="N2" s="103"/>
      <c r="O2" s="103"/>
      <c r="P2" s="103"/>
      <c r="Q2" s="103"/>
      <c r="R2" s="103"/>
      <c r="S2" s="103"/>
      <c r="T2" s="103"/>
    </row>
    <row r="3" spans="2:20" ht="21" x14ac:dyDescent="0.3">
      <c r="B3" s="5" t="s">
        <v>35</v>
      </c>
      <c r="C3" s="104" t="s">
        <v>355</v>
      </c>
      <c r="D3" s="105"/>
      <c r="E3" s="105"/>
      <c r="F3" s="105"/>
      <c r="G3" s="105"/>
      <c r="H3" s="105"/>
      <c r="I3" s="105"/>
      <c r="J3" s="105"/>
      <c r="K3" s="4"/>
      <c r="L3" s="4"/>
      <c r="M3" s="4"/>
      <c r="N3" s="4"/>
      <c r="O3" s="4"/>
      <c r="P3" s="4"/>
      <c r="Q3" s="4"/>
      <c r="R3" s="4"/>
      <c r="S3" s="4"/>
      <c r="T3" s="4"/>
    </row>
    <row r="4" spans="2:20" ht="15" thickBot="1" x14ac:dyDescent="0.35">
      <c r="B4" s="4"/>
      <c r="C4" s="4"/>
      <c r="D4" s="4"/>
      <c r="E4" s="4"/>
      <c r="F4" s="4"/>
      <c r="G4" s="4"/>
      <c r="H4" s="4"/>
      <c r="I4" s="4"/>
      <c r="J4" s="4"/>
      <c r="K4" s="4"/>
      <c r="L4" s="4"/>
      <c r="M4" s="4"/>
      <c r="N4" s="4"/>
      <c r="O4" s="4"/>
      <c r="P4" s="4"/>
      <c r="Q4" s="4"/>
      <c r="R4" s="4"/>
      <c r="S4" s="4"/>
      <c r="T4" s="4"/>
    </row>
    <row r="5" spans="2:20" ht="54.6" thickBot="1" x14ac:dyDescent="0.35">
      <c r="B5" s="40" t="s">
        <v>36</v>
      </c>
      <c r="C5" s="97" t="s">
        <v>21</v>
      </c>
      <c r="D5" s="98"/>
      <c r="E5" s="98"/>
      <c r="F5" s="42" t="s">
        <v>37</v>
      </c>
      <c r="G5" s="41" t="s">
        <v>38</v>
      </c>
      <c r="H5" s="42" t="s">
        <v>3</v>
      </c>
      <c r="I5" s="42" t="s">
        <v>39</v>
      </c>
      <c r="J5" s="42" t="s">
        <v>40</v>
      </c>
      <c r="K5" s="42" t="s">
        <v>41</v>
      </c>
      <c r="L5" s="42" t="s">
        <v>42</v>
      </c>
      <c r="M5" s="42" t="s">
        <v>43</v>
      </c>
      <c r="N5" s="42" t="s">
        <v>44</v>
      </c>
      <c r="O5" s="42" t="s">
        <v>45</v>
      </c>
      <c r="P5" s="42" t="s">
        <v>46</v>
      </c>
      <c r="Q5" s="42" t="s">
        <v>47</v>
      </c>
      <c r="R5" s="42" t="s">
        <v>48</v>
      </c>
      <c r="S5" s="42" t="s">
        <v>49</v>
      </c>
      <c r="T5" s="42" t="s">
        <v>50</v>
      </c>
    </row>
    <row r="6" spans="2:20" ht="21" x14ac:dyDescent="0.3">
      <c r="B6" s="51" t="s">
        <v>20</v>
      </c>
      <c r="C6" s="35"/>
      <c r="D6" s="35"/>
      <c r="E6" s="35"/>
      <c r="F6" s="35">
        <f>SUM(F7:F67)</f>
        <v>59</v>
      </c>
      <c r="G6" s="35"/>
      <c r="H6" s="43"/>
      <c r="I6" s="43"/>
      <c r="J6" s="35"/>
      <c r="K6" s="35"/>
      <c r="L6" s="35"/>
      <c r="M6" s="35"/>
      <c r="N6" s="35"/>
      <c r="O6" s="35"/>
      <c r="P6" s="35"/>
      <c r="Q6" s="35"/>
      <c r="R6" s="35"/>
      <c r="S6" s="35"/>
      <c r="T6" s="37"/>
    </row>
    <row r="7" spans="2:20" ht="15" x14ac:dyDescent="0.3">
      <c r="B7" s="93" t="s">
        <v>120</v>
      </c>
      <c r="C7" s="114" t="s">
        <v>363</v>
      </c>
      <c r="D7" s="7" t="s">
        <v>364</v>
      </c>
      <c r="E7" s="7"/>
      <c r="F7" s="7">
        <v>1</v>
      </c>
      <c r="G7" s="26" t="s">
        <v>116</v>
      </c>
      <c r="H7" s="85" t="s">
        <v>84</v>
      </c>
      <c r="I7" s="7">
        <v>1</v>
      </c>
      <c r="J7" s="7"/>
      <c r="K7" s="7"/>
      <c r="L7" s="7"/>
      <c r="M7" s="7"/>
      <c r="N7" s="7"/>
      <c r="O7" s="7"/>
      <c r="P7" s="7"/>
      <c r="Q7" s="7"/>
      <c r="R7" s="7"/>
      <c r="S7" s="7"/>
      <c r="T7" s="7"/>
    </row>
    <row r="8" spans="2:20" ht="15" x14ac:dyDescent="0.3">
      <c r="B8" s="101"/>
      <c r="C8" s="114"/>
      <c r="D8" s="7" t="s">
        <v>365</v>
      </c>
      <c r="E8" s="7"/>
      <c r="F8" s="7">
        <v>1</v>
      </c>
      <c r="G8" s="26" t="s">
        <v>116</v>
      </c>
      <c r="H8" s="85" t="s">
        <v>84</v>
      </c>
      <c r="I8" s="7">
        <v>2</v>
      </c>
      <c r="J8" s="7"/>
      <c r="K8" s="7"/>
      <c r="L8" s="7"/>
      <c r="M8" s="7"/>
      <c r="N8" s="7"/>
      <c r="O8" s="7"/>
      <c r="P8" s="7"/>
      <c r="Q8" s="7"/>
      <c r="R8" s="7"/>
      <c r="S8" s="7"/>
      <c r="T8" s="7"/>
    </row>
    <row r="9" spans="2:20" ht="30" x14ac:dyDescent="0.3">
      <c r="B9" s="101"/>
      <c r="C9" s="114"/>
      <c r="D9" s="7" t="s">
        <v>366</v>
      </c>
      <c r="E9" s="7"/>
      <c r="F9" s="7">
        <v>1</v>
      </c>
      <c r="G9" s="26" t="s">
        <v>116</v>
      </c>
      <c r="H9" s="85" t="s">
        <v>84</v>
      </c>
      <c r="I9" s="7">
        <v>1</v>
      </c>
      <c r="J9" s="7"/>
      <c r="K9" s="7"/>
      <c r="L9" s="7"/>
      <c r="M9" s="7"/>
      <c r="N9" s="7"/>
      <c r="O9" s="7"/>
      <c r="P9" s="7"/>
      <c r="Q9" s="7"/>
      <c r="R9" s="7"/>
      <c r="S9" s="7"/>
      <c r="T9" s="7"/>
    </row>
    <row r="10" spans="2:20" ht="30" x14ac:dyDescent="0.3">
      <c r="B10" s="102"/>
      <c r="C10" s="117"/>
      <c r="D10" s="7" t="s">
        <v>367</v>
      </c>
      <c r="E10" s="7"/>
      <c r="F10" s="7">
        <v>1</v>
      </c>
      <c r="G10" s="26" t="s">
        <v>116</v>
      </c>
      <c r="H10" s="85" t="s">
        <v>84</v>
      </c>
      <c r="I10" s="7">
        <v>2</v>
      </c>
      <c r="J10" s="7"/>
      <c r="K10" s="7"/>
      <c r="L10" s="7"/>
      <c r="M10" s="7"/>
      <c r="N10" s="7"/>
      <c r="O10" s="7"/>
      <c r="P10" s="7"/>
      <c r="Q10" s="7"/>
      <c r="R10" s="7"/>
      <c r="S10" s="7"/>
      <c r="T10" s="7"/>
    </row>
    <row r="11" spans="2:20" ht="15.6" thickBot="1" x14ac:dyDescent="0.35">
      <c r="B11" s="27"/>
      <c r="C11" s="28"/>
      <c r="D11" s="28"/>
      <c r="E11" s="28"/>
      <c r="F11" s="28"/>
      <c r="G11" s="28"/>
      <c r="H11" s="28"/>
      <c r="I11" s="28"/>
      <c r="J11" s="28"/>
      <c r="K11" s="28"/>
      <c r="L11" s="28"/>
      <c r="M11" s="28"/>
      <c r="N11" s="28"/>
      <c r="O11" s="28"/>
      <c r="P11" s="28"/>
      <c r="Q11" s="28"/>
      <c r="R11" s="28"/>
      <c r="S11" s="28"/>
      <c r="T11" s="28"/>
    </row>
    <row r="12" spans="2:20" ht="15" x14ac:dyDescent="0.3">
      <c r="B12" s="100" t="s">
        <v>160</v>
      </c>
      <c r="C12" s="100" t="s">
        <v>368</v>
      </c>
      <c r="D12" s="36" t="s">
        <v>369</v>
      </c>
      <c r="E12" s="7"/>
      <c r="F12" s="7">
        <v>1</v>
      </c>
      <c r="G12" s="26" t="s">
        <v>116</v>
      </c>
      <c r="H12" s="85" t="s">
        <v>84</v>
      </c>
      <c r="I12" s="7">
        <v>1</v>
      </c>
      <c r="J12" s="7"/>
      <c r="K12" s="7"/>
      <c r="L12" s="7"/>
      <c r="M12" s="7"/>
      <c r="N12" s="7"/>
      <c r="O12" s="7"/>
      <c r="P12" s="7"/>
      <c r="Q12" s="7"/>
      <c r="R12" s="7"/>
      <c r="S12" s="7"/>
      <c r="T12" s="7"/>
    </row>
    <row r="13" spans="2:20" ht="30" x14ac:dyDescent="0.3">
      <c r="B13" s="101"/>
      <c r="C13" s="101"/>
      <c r="D13" s="7" t="s">
        <v>71</v>
      </c>
      <c r="E13" s="7"/>
      <c r="F13" s="7">
        <v>1</v>
      </c>
      <c r="G13" s="26" t="s">
        <v>116</v>
      </c>
      <c r="H13" s="85" t="s">
        <v>84</v>
      </c>
      <c r="I13" s="7">
        <v>1</v>
      </c>
      <c r="J13" s="7"/>
      <c r="K13" s="7"/>
      <c r="L13" s="7"/>
      <c r="M13" s="7"/>
      <c r="N13" s="7"/>
      <c r="O13" s="7"/>
      <c r="P13" s="7"/>
      <c r="Q13" s="7"/>
      <c r="R13" s="7"/>
      <c r="S13" s="7"/>
      <c r="T13" s="7"/>
    </row>
    <row r="14" spans="2:20" ht="30" x14ac:dyDescent="0.3">
      <c r="B14" s="101"/>
      <c r="C14" s="102"/>
      <c r="D14" s="7" t="s">
        <v>370</v>
      </c>
      <c r="E14" s="7"/>
      <c r="F14" s="7">
        <v>1</v>
      </c>
      <c r="G14" s="26" t="s">
        <v>116</v>
      </c>
      <c r="H14" s="85" t="s">
        <v>84</v>
      </c>
      <c r="I14" s="7">
        <v>1</v>
      </c>
      <c r="J14" s="7"/>
      <c r="K14" s="7"/>
      <c r="L14" s="7"/>
      <c r="M14" s="7"/>
      <c r="N14" s="7"/>
      <c r="O14" s="7"/>
      <c r="P14" s="7"/>
      <c r="Q14" s="7"/>
      <c r="R14" s="7"/>
      <c r="S14" s="7"/>
      <c r="T14" s="7"/>
    </row>
    <row r="15" spans="2:20" ht="45" x14ac:dyDescent="0.3">
      <c r="B15" s="101"/>
      <c r="C15" s="93" t="s">
        <v>371</v>
      </c>
      <c r="D15" s="7" t="s">
        <v>372</v>
      </c>
      <c r="E15" s="7"/>
      <c r="F15" s="7">
        <v>1</v>
      </c>
      <c r="G15" s="26" t="s">
        <v>116</v>
      </c>
      <c r="H15" s="85" t="s">
        <v>84</v>
      </c>
      <c r="I15" s="7">
        <v>3</v>
      </c>
      <c r="J15" s="7"/>
      <c r="K15" s="7"/>
      <c r="L15" s="7"/>
      <c r="M15" s="7"/>
      <c r="N15" s="7"/>
      <c r="O15" s="7"/>
      <c r="P15" s="7"/>
      <c r="Q15" s="7"/>
      <c r="R15" s="7"/>
      <c r="S15" s="7"/>
      <c r="T15" s="7"/>
    </row>
    <row r="16" spans="2:20" ht="30" x14ac:dyDescent="0.3">
      <c r="B16" s="101"/>
      <c r="C16" s="101"/>
      <c r="D16" s="7" t="s">
        <v>373</v>
      </c>
      <c r="E16" s="7"/>
      <c r="F16" s="7">
        <v>1</v>
      </c>
      <c r="G16" s="26" t="s">
        <v>116</v>
      </c>
      <c r="H16" s="85" t="s">
        <v>84</v>
      </c>
      <c r="I16" s="7">
        <v>3</v>
      </c>
      <c r="J16" s="7"/>
      <c r="K16" s="7"/>
      <c r="L16" s="7"/>
      <c r="M16" s="7"/>
      <c r="N16" s="7"/>
      <c r="O16" s="7"/>
      <c r="P16" s="7"/>
      <c r="Q16" s="7"/>
      <c r="R16" s="7"/>
      <c r="S16" s="7"/>
      <c r="T16" s="7"/>
    </row>
    <row r="17" spans="2:20" ht="30" x14ac:dyDescent="0.3">
      <c r="B17" s="101"/>
      <c r="C17" s="101"/>
      <c r="D17" s="7" t="s">
        <v>374</v>
      </c>
      <c r="E17" s="7"/>
      <c r="F17" s="7">
        <v>1</v>
      </c>
      <c r="G17" s="26" t="s">
        <v>116</v>
      </c>
      <c r="H17" s="85" t="s">
        <v>84</v>
      </c>
      <c r="I17" s="7">
        <v>1</v>
      </c>
      <c r="J17" s="7"/>
      <c r="K17" s="7"/>
      <c r="L17" s="7"/>
      <c r="M17" s="7"/>
      <c r="N17" s="7"/>
      <c r="O17" s="7"/>
      <c r="P17" s="7"/>
      <c r="Q17" s="7"/>
      <c r="R17" s="7"/>
      <c r="S17" s="7"/>
      <c r="T17" s="7"/>
    </row>
    <row r="18" spans="2:20" ht="30" x14ac:dyDescent="0.3">
      <c r="B18" s="101"/>
      <c r="C18" s="101"/>
      <c r="D18" s="92" t="s">
        <v>375</v>
      </c>
      <c r="E18" s="7" t="s">
        <v>376</v>
      </c>
      <c r="F18" s="7">
        <v>1</v>
      </c>
      <c r="G18" s="26" t="s">
        <v>116</v>
      </c>
      <c r="H18" s="85" t="s">
        <v>84</v>
      </c>
      <c r="I18" s="7">
        <v>1</v>
      </c>
      <c r="J18" s="7"/>
      <c r="K18" s="7"/>
      <c r="L18" s="7"/>
      <c r="M18" s="7"/>
      <c r="N18" s="7"/>
      <c r="O18" s="7"/>
      <c r="P18" s="7"/>
      <c r="Q18" s="7"/>
      <c r="R18" s="7"/>
      <c r="S18" s="7"/>
      <c r="T18" s="7"/>
    </row>
    <row r="19" spans="2:20" ht="30" x14ac:dyDescent="0.3">
      <c r="B19" s="101"/>
      <c r="C19" s="101"/>
      <c r="D19" s="92"/>
      <c r="E19" s="7" t="s">
        <v>377</v>
      </c>
      <c r="F19" s="7">
        <v>1</v>
      </c>
      <c r="G19" s="26" t="s">
        <v>116</v>
      </c>
      <c r="H19" s="85" t="s">
        <v>84</v>
      </c>
      <c r="I19" s="7">
        <v>1</v>
      </c>
      <c r="J19" s="7"/>
      <c r="K19" s="7"/>
      <c r="L19" s="7"/>
      <c r="M19" s="7"/>
      <c r="N19" s="7"/>
      <c r="O19" s="7"/>
      <c r="P19" s="7"/>
      <c r="Q19" s="7"/>
      <c r="R19" s="7"/>
      <c r="S19" s="7"/>
      <c r="T19" s="7"/>
    </row>
    <row r="20" spans="2:20" ht="15" x14ac:dyDescent="0.3">
      <c r="B20" s="101"/>
      <c r="C20" s="101"/>
      <c r="D20" s="92"/>
      <c r="E20" s="7" t="s">
        <v>378</v>
      </c>
      <c r="F20" s="7">
        <v>1</v>
      </c>
      <c r="G20" s="26" t="s">
        <v>116</v>
      </c>
      <c r="H20" s="85" t="s">
        <v>84</v>
      </c>
      <c r="I20" s="7">
        <v>1</v>
      </c>
      <c r="J20" s="7"/>
      <c r="K20" s="7"/>
      <c r="L20" s="7"/>
      <c r="M20" s="7"/>
      <c r="N20" s="7"/>
      <c r="O20" s="7"/>
      <c r="P20" s="7"/>
      <c r="Q20" s="7"/>
      <c r="R20" s="7"/>
      <c r="S20" s="7"/>
      <c r="T20" s="7"/>
    </row>
    <row r="21" spans="2:20" ht="15" x14ac:dyDescent="0.3">
      <c r="B21" s="101"/>
      <c r="C21" s="101"/>
      <c r="D21" s="92"/>
      <c r="E21" s="7" t="s">
        <v>332</v>
      </c>
      <c r="F21" s="7">
        <v>1</v>
      </c>
      <c r="G21" s="26" t="s">
        <v>116</v>
      </c>
      <c r="H21" s="85" t="s">
        <v>84</v>
      </c>
      <c r="I21" s="7">
        <v>1</v>
      </c>
      <c r="J21" s="7"/>
      <c r="K21" s="7"/>
      <c r="L21" s="7"/>
      <c r="M21" s="7"/>
      <c r="N21" s="7"/>
      <c r="O21" s="7"/>
      <c r="P21" s="7"/>
      <c r="Q21" s="7"/>
      <c r="R21" s="7"/>
      <c r="S21" s="7"/>
      <c r="T21" s="7"/>
    </row>
    <row r="22" spans="2:20" ht="30" x14ac:dyDescent="0.3">
      <c r="B22" s="101"/>
      <c r="C22" s="101"/>
      <c r="D22" s="92" t="s">
        <v>379</v>
      </c>
      <c r="E22" s="7" t="s">
        <v>376</v>
      </c>
      <c r="F22" s="7">
        <v>1</v>
      </c>
      <c r="G22" s="26" t="s">
        <v>116</v>
      </c>
      <c r="H22" s="85" t="s">
        <v>84</v>
      </c>
      <c r="I22" s="7">
        <v>1</v>
      </c>
      <c r="J22" s="7"/>
      <c r="K22" s="7"/>
      <c r="L22" s="7"/>
      <c r="M22" s="7"/>
      <c r="N22" s="7"/>
      <c r="O22" s="7"/>
      <c r="P22" s="7"/>
      <c r="Q22" s="7"/>
      <c r="R22" s="7"/>
      <c r="S22" s="7"/>
      <c r="T22" s="7"/>
    </row>
    <row r="23" spans="2:20" ht="30" x14ac:dyDescent="0.3">
      <c r="B23" s="101"/>
      <c r="C23" s="101"/>
      <c r="D23" s="92"/>
      <c r="E23" s="7" t="s">
        <v>377</v>
      </c>
      <c r="F23" s="7">
        <v>1</v>
      </c>
      <c r="G23" s="26" t="s">
        <v>116</v>
      </c>
      <c r="H23" s="85" t="s">
        <v>84</v>
      </c>
      <c r="I23" s="7">
        <v>1</v>
      </c>
      <c r="J23" s="7"/>
      <c r="K23" s="7"/>
      <c r="L23" s="7"/>
      <c r="M23" s="7"/>
      <c r="N23" s="7"/>
      <c r="O23" s="7"/>
      <c r="P23" s="7"/>
      <c r="Q23" s="7"/>
      <c r="R23" s="7"/>
      <c r="S23" s="7"/>
      <c r="T23" s="7"/>
    </row>
    <row r="24" spans="2:20" ht="15" x14ac:dyDescent="0.3">
      <c r="B24" s="101"/>
      <c r="C24" s="101"/>
      <c r="D24" s="92"/>
      <c r="E24" s="7" t="s">
        <v>378</v>
      </c>
      <c r="F24" s="7">
        <v>1</v>
      </c>
      <c r="G24" s="26" t="s">
        <v>116</v>
      </c>
      <c r="H24" s="85" t="s">
        <v>84</v>
      </c>
      <c r="I24" s="7">
        <v>1</v>
      </c>
      <c r="J24" s="7"/>
      <c r="K24" s="7"/>
      <c r="L24" s="7"/>
      <c r="M24" s="7"/>
      <c r="N24" s="7"/>
      <c r="O24" s="7"/>
      <c r="P24" s="7"/>
      <c r="Q24" s="7"/>
      <c r="R24" s="7"/>
      <c r="S24" s="7"/>
      <c r="T24" s="7"/>
    </row>
    <row r="25" spans="2:20" ht="15" x14ac:dyDescent="0.3">
      <c r="B25" s="101"/>
      <c r="C25" s="101"/>
      <c r="D25" s="92"/>
      <c r="E25" s="7" t="s">
        <v>332</v>
      </c>
      <c r="F25" s="7">
        <v>1</v>
      </c>
      <c r="G25" s="26" t="s">
        <v>116</v>
      </c>
      <c r="H25" s="85" t="s">
        <v>84</v>
      </c>
      <c r="I25" s="7">
        <v>1</v>
      </c>
      <c r="J25" s="7"/>
      <c r="K25" s="7"/>
      <c r="L25" s="7"/>
      <c r="M25" s="7"/>
      <c r="N25" s="7"/>
      <c r="O25" s="7"/>
      <c r="P25" s="7"/>
      <c r="Q25" s="7"/>
      <c r="R25" s="7"/>
      <c r="S25" s="7"/>
      <c r="T25" s="7"/>
    </row>
    <row r="26" spans="2:20" ht="30" x14ac:dyDescent="0.3">
      <c r="B26" s="101"/>
      <c r="C26" s="101"/>
      <c r="D26" s="92" t="s">
        <v>246</v>
      </c>
      <c r="E26" s="7" t="s">
        <v>376</v>
      </c>
      <c r="F26" s="7">
        <v>1</v>
      </c>
      <c r="G26" s="26" t="s">
        <v>116</v>
      </c>
      <c r="H26" s="85" t="s">
        <v>84</v>
      </c>
      <c r="I26" s="7">
        <v>1</v>
      </c>
      <c r="J26" s="7"/>
      <c r="K26" s="7"/>
      <c r="L26" s="7"/>
      <c r="M26" s="7"/>
      <c r="N26" s="7"/>
      <c r="O26" s="7"/>
      <c r="P26" s="7"/>
      <c r="Q26" s="7"/>
      <c r="R26" s="7"/>
      <c r="S26" s="7"/>
      <c r="T26" s="7"/>
    </row>
    <row r="27" spans="2:20" ht="30" x14ac:dyDescent="0.3">
      <c r="B27" s="101"/>
      <c r="C27" s="101"/>
      <c r="D27" s="92"/>
      <c r="E27" s="7" t="s">
        <v>377</v>
      </c>
      <c r="F27" s="7">
        <v>1</v>
      </c>
      <c r="G27" s="26" t="s">
        <v>116</v>
      </c>
      <c r="H27" s="85" t="s">
        <v>84</v>
      </c>
      <c r="I27" s="7">
        <v>1</v>
      </c>
      <c r="J27" s="7"/>
      <c r="K27" s="7"/>
      <c r="L27" s="7"/>
      <c r="M27" s="7"/>
      <c r="N27" s="7"/>
      <c r="O27" s="7"/>
      <c r="P27" s="7"/>
      <c r="Q27" s="7"/>
      <c r="R27" s="7"/>
      <c r="S27" s="7"/>
      <c r="T27" s="7"/>
    </row>
    <row r="28" spans="2:20" ht="15" x14ac:dyDescent="0.3">
      <c r="B28" s="101"/>
      <c r="C28" s="101"/>
      <c r="D28" s="92"/>
      <c r="E28" s="7" t="s">
        <v>378</v>
      </c>
      <c r="F28" s="7">
        <v>1</v>
      </c>
      <c r="G28" s="26" t="s">
        <v>116</v>
      </c>
      <c r="H28" s="85" t="s">
        <v>84</v>
      </c>
      <c r="I28" s="7">
        <v>1</v>
      </c>
      <c r="J28" s="7"/>
      <c r="K28" s="7"/>
      <c r="L28" s="7"/>
      <c r="M28" s="7"/>
      <c r="N28" s="7"/>
      <c r="O28" s="7"/>
      <c r="P28" s="7"/>
      <c r="Q28" s="7"/>
      <c r="R28" s="7"/>
      <c r="S28" s="7"/>
      <c r="T28" s="7"/>
    </row>
    <row r="29" spans="2:20" ht="15" x14ac:dyDescent="0.3">
      <c r="B29" s="101"/>
      <c r="C29" s="101"/>
      <c r="D29" s="92"/>
      <c r="E29" s="7" t="s">
        <v>332</v>
      </c>
      <c r="F29" s="7">
        <v>1</v>
      </c>
      <c r="G29" s="26" t="s">
        <v>116</v>
      </c>
      <c r="H29" s="85" t="s">
        <v>84</v>
      </c>
      <c r="I29" s="7"/>
      <c r="J29" s="7"/>
      <c r="K29" s="7"/>
      <c r="L29" s="7"/>
      <c r="M29" s="7"/>
      <c r="N29" s="7"/>
      <c r="O29" s="7"/>
      <c r="P29" s="7"/>
      <c r="Q29" s="7"/>
      <c r="R29" s="7"/>
      <c r="S29" s="7"/>
      <c r="T29" s="7"/>
    </row>
    <row r="30" spans="2:20" ht="30" x14ac:dyDescent="0.3">
      <c r="B30" s="101"/>
      <c r="C30" s="101"/>
      <c r="D30" s="92" t="s">
        <v>380</v>
      </c>
      <c r="E30" s="7" t="s">
        <v>376</v>
      </c>
      <c r="F30" s="7">
        <v>1</v>
      </c>
      <c r="G30" s="26" t="s">
        <v>116</v>
      </c>
      <c r="H30" s="85" t="s">
        <v>84</v>
      </c>
      <c r="I30" s="7">
        <v>1</v>
      </c>
      <c r="J30" s="7"/>
      <c r="K30" s="7"/>
      <c r="L30" s="7"/>
      <c r="M30" s="7"/>
      <c r="N30" s="7"/>
      <c r="O30" s="7"/>
      <c r="P30" s="7"/>
      <c r="Q30" s="7"/>
      <c r="R30" s="7"/>
      <c r="S30" s="7"/>
      <c r="T30" s="7"/>
    </row>
    <row r="31" spans="2:20" ht="30" x14ac:dyDescent="0.3">
      <c r="B31" s="101"/>
      <c r="C31" s="101"/>
      <c r="D31" s="92"/>
      <c r="E31" s="7" t="s">
        <v>377</v>
      </c>
      <c r="F31" s="7">
        <v>1</v>
      </c>
      <c r="G31" s="26" t="s">
        <v>116</v>
      </c>
      <c r="H31" s="85" t="s">
        <v>84</v>
      </c>
      <c r="I31" s="7">
        <v>1</v>
      </c>
      <c r="J31" s="7"/>
      <c r="K31" s="7"/>
      <c r="L31" s="7"/>
      <c r="M31" s="7"/>
      <c r="N31" s="7"/>
      <c r="O31" s="7"/>
      <c r="P31" s="7"/>
      <c r="Q31" s="7"/>
      <c r="R31" s="7"/>
      <c r="S31" s="7"/>
      <c r="T31" s="7"/>
    </row>
    <row r="32" spans="2:20" ht="15" x14ac:dyDescent="0.3">
      <c r="B32" s="101"/>
      <c r="C32" s="101"/>
      <c r="D32" s="92"/>
      <c r="E32" s="7" t="s">
        <v>378</v>
      </c>
      <c r="F32" s="7">
        <v>1</v>
      </c>
      <c r="G32" s="26" t="s">
        <v>116</v>
      </c>
      <c r="H32" s="85" t="s">
        <v>84</v>
      </c>
      <c r="I32" s="7">
        <v>1</v>
      </c>
      <c r="J32" s="7"/>
      <c r="K32" s="7"/>
      <c r="L32" s="7"/>
      <c r="M32" s="7"/>
      <c r="N32" s="7"/>
      <c r="O32" s="7"/>
      <c r="P32" s="7"/>
      <c r="Q32" s="7"/>
      <c r="R32" s="7"/>
      <c r="S32" s="7"/>
      <c r="T32" s="7"/>
    </row>
    <row r="33" spans="2:20" ht="15" x14ac:dyDescent="0.3">
      <c r="B33" s="101"/>
      <c r="C33" s="102"/>
      <c r="D33" s="92"/>
      <c r="E33" s="7" t="s">
        <v>332</v>
      </c>
      <c r="F33" s="7">
        <v>1</v>
      </c>
      <c r="G33" s="26" t="s">
        <v>116</v>
      </c>
      <c r="H33" s="85" t="s">
        <v>84</v>
      </c>
      <c r="I33" s="7">
        <v>1</v>
      </c>
      <c r="J33" s="7"/>
      <c r="K33" s="7"/>
      <c r="L33" s="7"/>
      <c r="M33" s="7"/>
      <c r="N33" s="7"/>
      <c r="O33" s="7"/>
      <c r="P33" s="7"/>
      <c r="Q33" s="7"/>
      <c r="R33" s="7"/>
      <c r="S33" s="7"/>
      <c r="T33" s="7"/>
    </row>
    <row r="34" spans="2:20" ht="45" x14ac:dyDescent="0.3">
      <c r="B34" s="101"/>
      <c r="C34" s="93" t="s">
        <v>381</v>
      </c>
      <c r="D34" s="7" t="s">
        <v>382</v>
      </c>
      <c r="E34" s="7"/>
      <c r="F34" s="7">
        <v>1</v>
      </c>
      <c r="G34" s="26" t="s">
        <v>116</v>
      </c>
      <c r="H34" s="85" t="s">
        <v>84</v>
      </c>
      <c r="I34" s="7">
        <v>3</v>
      </c>
      <c r="J34" s="7"/>
      <c r="K34" s="7"/>
      <c r="L34" s="7"/>
      <c r="M34" s="7"/>
      <c r="N34" s="7"/>
      <c r="O34" s="7"/>
      <c r="P34" s="7"/>
      <c r="Q34" s="7"/>
      <c r="R34" s="7"/>
      <c r="S34" s="7"/>
      <c r="T34" s="7"/>
    </row>
    <row r="35" spans="2:20" ht="30" x14ac:dyDescent="0.3">
      <c r="B35" s="101"/>
      <c r="C35" s="101"/>
      <c r="D35" s="7" t="s">
        <v>383</v>
      </c>
      <c r="E35" s="7"/>
      <c r="F35" s="7">
        <v>1</v>
      </c>
      <c r="G35" s="26" t="s">
        <v>116</v>
      </c>
      <c r="H35" s="85" t="s">
        <v>84</v>
      </c>
      <c r="I35" s="7">
        <v>3</v>
      </c>
      <c r="J35" s="7"/>
      <c r="K35" s="7"/>
      <c r="L35" s="7"/>
      <c r="M35" s="7"/>
      <c r="N35" s="7"/>
      <c r="O35" s="7"/>
      <c r="P35" s="7"/>
      <c r="Q35" s="7"/>
      <c r="R35" s="7"/>
      <c r="S35" s="7"/>
      <c r="T35" s="7"/>
    </row>
    <row r="36" spans="2:20" ht="30" x14ac:dyDescent="0.3">
      <c r="B36" s="101"/>
      <c r="C36" s="101"/>
      <c r="D36" s="7" t="s">
        <v>374</v>
      </c>
      <c r="E36" s="7"/>
      <c r="F36" s="7">
        <v>1</v>
      </c>
      <c r="G36" s="26" t="s">
        <v>116</v>
      </c>
      <c r="H36" s="85" t="s">
        <v>84</v>
      </c>
      <c r="I36" s="7">
        <v>1</v>
      </c>
      <c r="J36" s="7"/>
      <c r="K36" s="7"/>
      <c r="L36" s="7"/>
      <c r="M36" s="7"/>
      <c r="N36" s="7"/>
      <c r="O36" s="7"/>
      <c r="P36" s="7"/>
      <c r="Q36" s="7"/>
      <c r="R36" s="7"/>
      <c r="S36" s="7"/>
      <c r="T36" s="7"/>
    </row>
    <row r="37" spans="2:20" ht="30" x14ac:dyDescent="0.3">
      <c r="B37" s="101"/>
      <c r="C37" s="101"/>
      <c r="D37" s="92" t="s">
        <v>384</v>
      </c>
      <c r="E37" s="7" t="s">
        <v>376</v>
      </c>
      <c r="F37" s="7">
        <v>1</v>
      </c>
      <c r="G37" s="26" t="s">
        <v>116</v>
      </c>
      <c r="H37" s="85" t="s">
        <v>84</v>
      </c>
      <c r="I37" s="7">
        <v>1</v>
      </c>
      <c r="J37" s="7"/>
      <c r="K37" s="7"/>
      <c r="L37" s="7"/>
      <c r="M37" s="7"/>
      <c r="N37" s="7"/>
      <c r="O37" s="7"/>
      <c r="P37" s="7"/>
      <c r="Q37" s="7"/>
      <c r="R37" s="7"/>
      <c r="S37" s="7"/>
      <c r="T37" s="7"/>
    </row>
    <row r="38" spans="2:20" ht="30" x14ac:dyDescent="0.3">
      <c r="B38" s="101"/>
      <c r="C38" s="101"/>
      <c r="D38" s="92"/>
      <c r="E38" s="7" t="s">
        <v>377</v>
      </c>
      <c r="F38" s="7">
        <v>1</v>
      </c>
      <c r="G38" s="26" t="s">
        <v>116</v>
      </c>
      <c r="H38" s="85" t="s">
        <v>84</v>
      </c>
      <c r="I38" s="7">
        <v>1</v>
      </c>
      <c r="J38" s="7"/>
      <c r="K38" s="7"/>
      <c r="L38" s="7"/>
      <c r="M38" s="7"/>
      <c r="N38" s="7"/>
      <c r="O38" s="7"/>
      <c r="P38" s="7"/>
      <c r="Q38" s="7"/>
      <c r="R38" s="7"/>
      <c r="S38" s="7"/>
      <c r="T38" s="7"/>
    </row>
    <row r="39" spans="2:20" ht="15" x14ac:dyDescent="0.3">
      <c r="B39" s="101"/>
      <c r="C39" s="101"/>
      <c r="D39" s="92"/>
      <c r="E39" s="7" t="s">
        <v>378</v>
      </c>
      <c r="F39" s="7">
        <v>1</v>
      </c>
      <c r="G39" s="26" t="s">
        <v>116</v>
      </c>
      <c r="H39" s="85" t="s">
        <v>84</v>
      </c>
      <c r="I39" s="7">
        <v>1</v>
      </c>
      <c r="J39" s="7"/>
      <c r="K39" s="7"/>
      <c r="L39" s="7"/>
      <c r="M39" s="7"/>
      <c r="N39" s="7"/>
      <c r="O39" s="7"/>
      <c r="P39" s="7"/>
      <c r="Q39" s="7"/>
      <c r="R39" s="7"/>
      <c r="S39" s="7"/>
      <c r="T39" s="7"/>
    </row>
    <row r="40" spans="2:20" ht="15" x14ac:dyDescent="0.3">
      <c r="B40" s="101"/>
      <c r="C40" s="101"/>
      <c r="D40" s="92"/>
      <c r="E40" s="7" t="s">
        <v>332</v>
      </c>
      <c r="F40" s="7">
        <v>1</v>
      </c>
      <c r="G40" s="26" t="s">
        <v>116</v>
      </c>
      <c r="H40" s="85" t="s">
        <v>84</v>
      </c>
      <c r="I40" s="7">
        <v>1</v>
      </c>
      <c r="J40" s="7"/>
      <c r="K40" s="7"/>
      <c r="L40" s="7"/>
      <c r="M40" s="7"/>
      <c r="N40" s="7"/>
      <c r="O40" s="7"/>
      <c r="P40" s="7"/>
      <c r="Q40" s="7"/>
      <c r="R40" s="7"/>
      <c r="S40" s="7"/>
      <c r="T40" s="7"/>
    </row>
    <row r="41" spans="2:20" ht="30" x14ac:dyDescent="0.3">
      <c r="B41" s="101"/>
      <c r="C41" s="101"/>
      <c r="D41" s="92" t="s">
        <v>385</v>
      </c>
      <c r="E41" s="7" t="s">
        <v>376</v>
      </c>
      <c r="F41" s="7">
        <v>1</v>
      </c>
      <c r="G41" s="26" t="s">
        <v>116</v>
      </c>
      <c r="H41" s="85" t="s">
        <v>84</v>
      </c>
      <c r="I41" s="7">
        <v>1</v>
      </c>
      <c r="J41" s="7"/>
      <c r="K41" s="7"/>
      <c r="L41" s="7"/>
      <c r="M41" s="7"/>
      <c r="N41" s="7"/>
      <c r="O41" s="7"/>
      <c r="P41" s="7"/>
      <c r="Q41" s="7"/>
      <c r="R41" s="7"/>
      <c r="S41" s="7"/>
      <c r="T41" s="7"/>
    </row>
    <row r="42" spans="2:20" ht="30" x14ac:dyDescent="0.3">
      <c r="B42" s="101"/>
      <c r="C42" s="101"/>
      <c r="D42" s="92"/>
      <c r="E42" s="7" t="s">
        <v>377</v>
      </c>
      <c r="F42" s="7">
        <v>1</v>
      </c>
      <c r="G42" s="26" t="s">
        <v>116</v>
      </c>
      <c r="H42" s="85" t="s">
        <v>84</v>
      </c>
      <c r="I42" s="7">
        <v>1</v>
      </c>
      <c r="J42" s="7"/>
      <c r="K42" s="7"/>
      <c r="L42" s="7"/>
      <c r="M42" s="7"/>
      <c r="N42" s="7"/>
      <c r="O42" s="7"/>
      <c r="P42" s="7"/>
      <c r="Q42" s="7"/>
      <c r="R42" s="7"/>
      <c r="S42" s="7"/>
      <c r="T42" s="7"/>
    </row>
    <row r="43" spans="2:20" ht="15" x14ac:dyDescent="0.3">
      <c r="B43" s="101"/>
      <c r="C43" s="101"/>
      <c r="D43" s="92"/>
      <c r="E43" s="7" t="s">
        <v>378</v>
      </c>
      <c r="F43" s="7">
        <v>1</v>
      </c>
      <c r="G43" s="26" t="s">
        <v>116</v>
      </c>
      <c r="H43" s="85" t="s">
        <v>84</v>
      </c>
      <c r="I43" s="7">
        <v>1</v>
      </c>
      <c r="J43" s="7"/>
      <c r="K43" s="7"/>
      <c r="L43" s="7"/>
      <c r="M43" s="7"/>
      <c r="N43" s="7"/>
      <c r="O43" s="7"/>
      <c r="P43" s="7"/>
      <c r="Q43" s="7"/>
      <c r="R43" s="7"/>
      <c r="S43" s="7"/>
      <c r="T43" s="7"/>
    </row>
    <row r="44" spans="2:20" ht="15" x14ac:dyDescent="0.3">
      <c r="B44" s="101"/>
      <c r="C44" s="101"/>
      <c r="D44" s="92"/>
      <c r="E44" s="7" t="s">
        <v>332</v>
      </c>
      <c r="F44" s="7">
        <v>1</v>
      </c>
      <c r="G44" s="26" t="s">
        <v>116</v>
      </c>
      <c r="H44" s="85" t="s">
        <v>84</v>
      </c>
      <c r="I44" s="7">
        <v>1</v>
      </c>
      <c r="J44" s="7"/>
      <c r="K44" s="7"/>
      <c r="L44" s="7"/>
      <c r="M44" s="7"/>
      <c r="N44" s="7"/>
      <c r="O44" s="7"/>
      <c r="P44" s="7"/>
      <c r="Q44" s="7"/>
      <c r="R44" s="7"/>
      <c r="S44" s="7"/>
      <c r="T44" s="7"/>
    </row>
    <row r="45" spans="2:20" ht="30" x14ac:dyDescent="0.3">
      <c r="B45" s="101"/>
      <c r="C45" s="101"/>
      <c r="D45" s="92" t="s">
        <v>386</v>
      </c>
      <c r="E45" s="7" t="s">
        <v>376</v>
      </c>
      <c r="F45" s="7">
        <v>1</v>
      </c>
      <c r="G45" s="26" t="s">
        <v>116</v>
      </c>
      <c r="H45" s="85" t="s">
        <v>84</v>
      </c>
      <c r="I45" s="7">
        <v>1</v>
      </c>
      <c r="J45" s="7"/>
      <c r="K45" s="7"/>
      <c r="L45" s="7"/>
      <c r="M45" s="7"/>
      <c r="N45" s="7"/>
      <c r="O45" s="7"/>
      <c r="P45" s="7"/>
      <c r="Q45" s="7"/>
      <c r="R45" s="7"/>
      <c r="S45" s="7"/>
      <c r="T45" s="7"/>
    </row>
    <row r="46" spans="2:20" ht="30" x14ac:dyDescent="0.3">
      <c r="B46" s="101"/>
      <c r="C46" s="101"/>
      <c r="D46" s="92"/>
      <c r="E46" s="7" t="s">
        <v>377</v>
      </c>
      <c r="F46" s="7">
        <v>1</v>
      </c>
      <c r="G46" s="26" t="s">
        <v>116</v>
      </c>
      <c r="H46" s="85" t="s">
        <v>84</v>
      </c>
      <c r="I46" s="7">
        <v>1</v>
      </c>
      <c r="J46" s="7"/>
      <c r="K46" s="7"/>
      <c r="L46" s="7"/>
      <c r="M46" s="7"/>
      <c r="N46" s="7"/>
      <c r="O46" s="7"/>
      <c r="P46" s="7"/>
      <c r="Q46" s="7"/>
      <c r="R46" s="7"/>
      <c r="S46" s="7"/>
      <c r="T46" s="7"/>
    </row>
    <row r="47" spans="2:20" ht="15" x14ac:dyDescent="0.3">
      <c r="B47" s="101"/>
      <c r="C47" s="101"/>
      <c r="D47" s="92"/>
      <c r="E47" s="7" t="s">
        <v>378</v>
      </c>
      <c r="F47" s="7">
        <v>1</v>
      </c>
      <c r="G47" s="26" t="s">
        <v>116</v>
      </c>
      <c r="H47" s="85" t="s">
        <v>84</v>
      </c>
      <c r="I47" s="7">
        <v>1</v>
      </c>
      <c r="J47" s="7"/>
      <c r="K47" s="7"/>
      <c r="L47" s="7"/>
      <c r="M47" s="7"/>
      <c r="N47" s="7"/>
      <c r="O47" s="7"/>
      <c r="P47" s="7"/>
      <c r="Q47" s="7"/>
      <c r="R47" s="7"/>
      <c r="S47" s="7"/>
      <c r="T47" s="7"/>
    </row>
    <row r="48" spans="2:20" ht="15" x14ac:dyDescent="0.3">
      <c r="B48" s="101"/>
      <c r="C48" s="101"/>
      <c r="D48" s="92"/>
      <c r="E48" s="7" t="s">
        <v>332</v>
      </c>
      <c r="F48" s="7">
        <v>1</v>
      </c>
      <c r="G48" s="26" t="s">
        <v>116</v>
      </c>
      <c r="H48" s="85" t="s">
        <v>84</v>
      </c>
      <c r="I48" s="7">
        <v>1</v>
      </c>
      <c r="J48" s="7"/>
      <c r="K48" s="7"/>
      <c r="L48" s="7"/>
      <c r="M48" s="7"/>
      <c r="N48" s="7"/>
      <c r="O48" s="7"/>
      <c r="P48" s="7"/>
      <c r="Q48" s="7"/>
      <c r="R48" s="7"/>
      <c r="S48" s="7"/>
      <c r="T48" s="7"/>
    </row>
    <row r="49" spans="2:20" ht="30" x14ac:dyDescent="0.3">
      <c r="B49" s="101"/>
      <c r="C49" s="101"/>
      <c r="D49" s="92" t="s">
        <v>387</v>
      </c>
      <c r="E49" s="7" t="s">
        <v>376</v>
      </c>
      <c r="F49" s="7">
        <v>1</v>
      </c>
      <c r="G49" s="26" t="s">
        <v>116</v>
      </c>
      <c r="H49" s="85" t="s">
        <v>84</v>
      </c>
      <c r="I49" s="7">
        <v>1</v>
      </c>
      <c r="J49" s="7"/>
      <c r="K49" s="7"/>
      <c r="L49" s="7"/>
      <c r="M49" s="7"/>
      <c r="N49" s="7"/>
      <c r="O49" s="7"/>
      <c r="P49" s="7"/>
      <c r="Q49" s="7"/>
      <c r="R49" s="7"/>
      <c r="S49" s="7"/>
      <c r="T49" s="7"/>
    </row>
    <row r="50" spans="2:20" ht="30" x14ac:dyDescent="0.3">
      <c r="B50" s="101"/>
      <c r="C50" s="101"/>
      <c r="D50" s="92"/>
      <c r="E50" s="7" t="s">
        <v>377</v>
      </c>
      <c r="F50" s="7">
        <v>1</v>
      </c>
      <c r="G50" s="26" t="s">
        <v>116</v>
      </c>
      <c r="H50" s="85" t="s">
        <v>84</v>
      </c>
      <c r="I50" s="7">
        <v>1</v>
      </c>
      <c r="J50" s="7"/>
      <c r="K50" s="7"/>
      <c r="L50" s="7"/>
      <c r="M50" s="7"/>
      <c r="N50" s="7"/>
      <c r="O50" s="7"/>
      <c r="P50" s="7"/>
      <c r="Q50" s="7"/>
      <c r="R50" s="7"/>
      <c r="S50" s="7"/>
      <c r="T50" s="7"/>
    </row>
    <row r="51" spans="2:20" ht="15" x14ac:dyDescent="0.3">
      <c r="B51" s="101"/>
      <c r="C51" s="101"/>
      <c r="D51" s="92"/>
      <c r="E51" s="7" t="s">
        <v>378</v>
      </c>
      <c r="F51" s="7">
        <v>1</v>
      </c>
      <c r="G51" s="26" t="s">
        <v>116</v>
      </c>
      <c r="H51" s="85" t="s">
        <v>84</v>
      </c>
      <c r="I51" s="7">
        <v>1</v>
      </c>
      <c r="J51" s="7"/>
      <c r="K51" s="7"/>
      <c r="L51" s="7"/>
      <c r="M51" s="7"/>
      <c r="N51" s="7"/>
      <c r="O51" s="7"/>
      <c r="P51" s="7"/>
      <c r="Q51" s="7"/>
      <c r="R51" s="7"/>
      <c r="S51" s="7"/>
      <c r="T51" s="7"/>
    </row>
    <row r="52" spans="2:20" ht="15" x14ac:dyDescent="0.3">
      <c r="B52" s="101"/>
      <c r="C52" s="102"/>
      <c r="D52" s="92"/>
      <c r="E52" s="7" t="s">
        <v>332</v>
      </c>
      <c r="F52" s="7">
        <v>1</v>
      </c>
      <c r="G52" s="26" t="s">
        <v>116</v>
      </c>
      <c r="H52" s="85" t="s">
        <v>84</v>
      </c>
      <c r="I52" s="7">
        <v>1</v>
      </c>
      <c r="J52" s="7"/>
      <c r="K52" s="7"/>
      <c r="L52" s="7"/>
      <c r="M52" s="7"/>
      <c r="N52" s="7"/>
      <c r="O52" s="7"/>
      <c r="P52" s="7"/>
      <c r="Q52" s="7"/>
      <c r="R52" s="7"/>
      <c r="S52" s="7"/>
      <c r="T52" s="7"/>
    </row>
    <row r="53" spans="2:20" ht="30" x14ac:dyDescent="0.3">
      <c r="B53" s="101"/>
      <c r="C53" s="93" t="s">
        <v>388</v>
      </c>
      <c r="D53" s="7" t="s">
        <v>389</v>
      </c>
      <c r="E53" s="7"/>
      <c r="F53" s="7">
        <v>1</v>
      </c>
      <c r="G53" s="26" t="s">
        <v>116</v>
      </c>
      <c r="H53" s="85" t="s">
        <v>84</v>
      </c>
      <c r="I53" s="10">
        <v>1</v>
      </c>
      <c r="J53" s="10"/>
      <c r="K53" s="10"/>
      <c r="L53" s="7"/>
      <c r="M53" s="7"/>
      <c r="N53" s="7"/>
      <c r="O53" s="7"/>
      <c r="P53" s="7"/>
      <c r="Q53" s="7"/>
      <c r="R53" s="7"/>
      <c r="S53" s="7"/>
      <c r="T53" s="7"/>
    </row>
    <row r="54" spans="2:20" ht="15" x14ac:dyDescent="0.3">
      <c r="B54" s="101"/>
      <c r="C54" s="101"/>
      <c r="D54" s="7" t="s">
        <v>378</v>
      </c>
      <c r="E54" s="7"/>
      <c r="F54" s="7">
        <v>1</v>
      </c>
      <c r="G54" s="26" t="s">
        <v>116</v>
      </c>
      <c r="H54" s="85" t="s">
        <v>84</v>
      </c>
      <c r="I54" s="7">
        <v>1</v>
      </c>
      <c r="J54" s="7"/>
      <c r="K54" s="7"/>
      <c r="L54" s="7"/>
      <c r="M54" s="7"/>
      <c r="N54" s="7"/>
      <c r="O54" s="7"/>
      <c r="P54" s="7"/>
      <c r="Q54" s="7"/>
      <c r="R54" s="7"/>
      <c r="S54" s="7"/>
      <c r="T54" s="7"/>
    </row>
    <row r="55" spans="2:20" ht="30" x14ac:dyDescent="0.3">
      <c r="B55" s="101"/>
      <c r="C55" s="101"/>
      <c r="D55" s="7" t="s">
        <v>390</v>
      </c>
      <c r="E55" s="7"/>
      <c r="F55" s="7">
        <v>1</v>
      </c>
      <c r="G55" s="26" t="s">
        <v>116</v>
      </c>
      <c r="H55" s="85" t="s">
        <v>84</v>
      </c>
      <c r="I55" s="7">
        <v>1</v>
      </c>
      <c r="J55" s="7"/>
      <c r="K55" s="7"/>
      <c r="L55" s="7"/>
      <c r="M55" s="7"/>
      <c r="N55" s="7"/>
      <c r="O55" s="7"/>
      <c r="P55" s="7"/>
      <c r="Q55" s="7"/>
      <c r="R55" s="7"/>
      <c r="S55" s="7"/>
      <c r="T55" s="7"/>
    </row>
    <row r="56" spans="2:20" ht="30" x14ac:dyDescent="0.3">
      <c r="B56" s="101"/>
      <c r="C56" s="101"/>
      <c r="D56" s="93" t="s">
        <v>391</v>
      </c>
      <c r="E56" s="7" t="s">
        <v>392</v>
      </c>
      <c r="F56" s="7">
        <v>1</v>
      </c>
      <c r="G56" s="26" t="s">
        <v>116</v>
      </c>
      <c r="H56" s="85" t="s">
        <v>84</v>
      </c>
      <c r="I56" s="7">
        <v>1</v>
      </c>
      <c r="J56" s="7"/>
      <c r="K56" s="7"/>
      <c r="L56" s="7"/>
      <c r="M56" s="7"/>
      <c r="N56" s="7"/>
      <c r="O56" s="7"/>
      <c r="P56" s="7"/>
      <c r="Q56" s="7"/>
      <c r="R56" s="7"/>
      <c r="S56" s="7"/>
      <c r="T56" s="7"/>
    </row>
    <row r="57" spans="2:20" ht="15" x14ac:dyDescent="0.3">
      <c r="B57" s="101"/>
      <c r="C57" s="101"/>
      <c r="D57" s="101"/>
      <c r="E57" s="7" t="s">
        <v>393</v>
      </c>
      <c r="F57" s="7">
        <v>1</v>
      </c>
      <c r="G57" s="26" t="s">
        <v>116</v>
      </c>
      <c r="H57" s="85" t="s">
        <v>84</v>
      </c>
      <c r="I57" s="7">
        <v>1</v>
      </c>
      <c r="J57" s="7"/>
      <c r="K57" s="7"/>
      <c r="L57" s="7"/>
      <c r="M57" s="7"/>
      <c r="N57" s="7"/>
      <c r="O57" s="7"/>
      <c r="P57" s="7"/>
      <c r="Q57" s="7"/>
      <c r="R57" s="7"/>
      <c r="S57" s="7"/>
      <c r="T57" s="7"/>
    </row>
    <row r="58" spans="2:20" ht="15" x14ac:dyDescent="0.3">
      <c r="B58" s="101"/>
      <c r="C58" s="101"/>
      <c r="D58" s="102"/>
      <c r="E58" s="7" t="s">
        <v>183</v>
      </c>
      <c r="F58" s="7">
        <v>1</v>
      </c>
      <c r="G58" s="26" t="s">
        <v>116</v>
      </c>
      <c r="H58" s="85" t="s">
        <v>84</v>
      </c>
      <c r="I58" s="7">
        <v>2</v>
      </c>
      <c r="J58" s="7"/>
      <c r="K58" s="7"/>
      <c r="L58" s="7"/>
      <c r="M58" s="7"/>
      <c r="N58" s="7"/>
      <c r="O58" s="7"/>
      <c r="P58" s="7"/>
      <c r="Q58" s="7"/>
      <c r="R58" s="7"/>
      <c r="S58" s="7"/>
      <c r="T58" s="7"/>
    </row>
    <row r="59" spans="2:20" ht="30" x14ac:dyDescent="0.3">
      <c r="B59" s="101"/>
      <c r="C59" s="101"/>
      <c r="D59" s="93" t="s">
        <v>394</v>
      </c>
      <c r="E59" s="7" t="s">
        <v>395</v>
      </c>
      <c r="F59" s="7">
        <v>1</v>
      </c>
      <c r="G59" s="26" t="s">
        <v>116</v>
      </c>
      <c r="H59" s="85" t="s">
        <v>84</v>
      </c>
      <c r="I59" s="7">
        <v>1</v>
      </c>
      <c r="J59" s="7"/>
      <c r="K59" s="7"/>
      <c r="L59" s="7"/>
      <c r="M59" s="7"/>
      <c r="N59" s="7"/>
      <c r="O59" s="7"/>
      <c r="P59" s="7"/>
      <c r="Q59" s="7"/>
      <c r="R59" s="7"/>
      <c r="S59" s="7"/>
      <c r="T59" s="7"/>
    </row>
    <row r="60" spans="2:20" ht="30" x14ac:dyDescent="0.3">
      <c r="B60" s="101"/>
      <c r="C60" s="101"/>
      <c r="D60" s="101"/>
      <c r="E60" s="7" t="s">
        <v>396</v>
      </c>
      <c r="F60" s="7">
        <v>1</v>
      </c>
      <c r="G60" s="26" t="s">
        <v>116</v>
      </c>
      <c r="H60" s="85" t="s">
        <v>84</v>
      </c>
      <c r="I60" s="7">
        <v>1</v>
      </c>
      <c r="J60" s="7"/>
      <c r="K60" s="7"/>
      <c r="L60" s="7"/>
      <c r="M60" s="7"/>
      <c r="N60" s="7"/>
      <c r="O60" s="7"/>
      <c r="P60" s="7"/>
      <c r="Q60" s="7"/>
      <c r="R60" s="7"/>
      <c r="S60" s="7"/>
      <c r="T60" s="7"/>
    </row>
    <row r="61" spans="2:20" ht="30" x14ac:dyDescent="0.3">
      <c r="B61" s="101"/>
      <c r="C61" s="101"/>
      <c r="D61" s="101"/>
      <c r="E61" s="7" t="s">
        <v>392</v>
      </c>
      <c r="F61" s="7">
        <v>1</v>
      </c>
      <c r="G61" s="26" t="s">
        <v>116</v>
      </c>
      <c r="H61" s="85" t="s">
        <v>84</v>
      </c>
      <c r="I61" s="7">
        <v>1</v>
      </c>
      <c r="J61" s="7"/>
      <c r="K61" s="7"/>
      <c r="L61" s="7"/>
      <c r="M61" s="7"/>
      <c r="N61" s="7"/>
      <c r="O61" s="7"/>
      <c r="P61" s="7"/>
      <c r="Q61" s="7"/>
      <c r="R61" s="7"/>
      <c r="S61" s="7"/>
      <c r="T61" s="7"/>
    </row>
    <row r="62" spans="2:20" ht="30" x14ac:dyDescent="0.3">
      <c r="B62" s="101"/>
      <c r="C62" s="102"/>
      <c r="D62" s="102"/>
      <c r="E62" s="7" t="s">
        <v>397</v>
      </c>
      <c r="F62" s="7">
        <v>1</v>
      </c>
      <c r="G62" s="26" t="s">
        <v>116</v>
      </c>
      <c r="H62" s="85" t="s">
        <v>84</v>
      </c>
      <c r="I62" s="7">
        <v>1</v>
      </c>
      <c r="J62" s="7"/>
      <c r="K62" s="7"/>
      <c r="L62" s="7"/>
      <c r="M62" s="7"/>
      <c r="N62" s="7"/>
      <c r="O62" s="7"/>
      <c r="P62" s="7"/>
      <c r="Q62" s="7"/>
      <c r="R62" s="7"/>
      <c r="S62" s="7"/>
      <c r="T62" s="7"/>
    </row>
    <row r="63" spans="2:20" ht="15.6" thickBot="1" x14ac:dyDescent="0.35">
      <c r="B63" s="27"/>
      <c r="C63" s="68"/>
      <c r="D63" s="28"/>
      <c r="E63" s="28"/>
      <c r="F63" s="28"/>
      <c r="G63" s="28"/>
      <c r="H63" s="28"/>
      <c r="I63" s="28"/>
      <c r="J63" s="28"/>
      <c r="K63" s="28"/>
      <c r="L63" s="28"/>
      <c r="M63" s="28"/>
      <c r="N63" s="28"/>
      <c r="O63" s="28"/>
      <c r="P63" s="28"/>
      <c r="Q63" s="28"/>
      <c r="R63" s="28"/>
      <c r="S63" s="28"/>
      <c r="T63" s="28"/>
    </row>
    <row r="64" spans="2:20" ht="90" x14ac:dyDescent="0.3">
      <c r="B64" s="100" t="s">
        <v>167</v>
      </c>
      <c r="C64" s="7" t="s">
        <v>398</v>
      </c>
      <c r="D64" s="86"/>
      <c r="E64" s="7"/>
      <c r="F64" s="7">
        <v>1</v>
      </c>
      <c r="G64" s="26" t="s">
        <v>116</v>
      </c>
      <c r="H64" s="85" t="s">
        <v>84</v>
      </c>
      <c r="I64" s="7">
        <v>3</v>
      </c>
      <c r="J64" s="7"/>
      <c r="K64" s="7"/>
      <c r="L64" s="7"/>
      <c r="M64" s="7"/>
      <c r="N64" s="7"/>
      <c r="O64" s="7"/>
      <c r="P64" s="7"/>
      <c r="Q64" s="7"/>
      <c r="R64" s="7"/>
      <c r="S64" s="7"/>
      <c r="T64" s="7"/>
    </row>
    <row r="65" spans="2:20" ht="75" x14ac:dyDescent="0.3">
      <c r="B65" s="101"/>
      <c r="C65" s="7" t="s">
        <v>220</v>
      </c>
      <c r="D65" s="87"/>
      <c r="E65" s="7"/>
      <c r="F65" s="7">
        <v>1</v>
      </c>
      <c r="G65" s="26" t="s">
        <v>116</v>
      </c>
      <c r="H65" s="85" t="s">
        <v>84</v>
      </c>
      <c r="I65" s="7">
        <v>3</v>
      </c>
      <c r="J65" s="7"/>
      <c r="K65" s="7"/>
      <c r="L65" s="7"/>
      <c r="M65" s="7"/>
      <c r="N65" s="7"/>
      <c r="O65" s="7"/>
      <c r="P65" s="7"/>
      <c r="Q65" s="7"/>
      <c r="R65" s="7"/>
      <c r="S65" s="7"/>
      <c r="T65" s="7"/>
    </row>
    <row r="66" spans="2:20" ht="60" x14ac:dyDescent="0.3">
      <c r="B66" s="101"/>
      <c r="C66" s="7" t="s">
        <v>219</v>
      </c>
      <c r="D66" s="87"/>
      <c r="E66" s="7"/>
      <c r="F66" s="7">
        <v>1</v>
      </c>
      <c r="G66" s="26" t="s">
        <v>116</v>
      </c>
      <c r="H66" s="85" t="s">
        <v>84</v>
      </c>
      <c r="I66" s="7">
        <v>5</v>
      </c>
      <c r="J66" s="7"/>
      <c r="K66" s="7"/>
      <c r="L66" s="7"/>
      <c r="M66" s="7"/>
      <c r="N66" s="7"/>
      <c r="O66" s="7"/>
      <c r="P66" s="7"/>
      <c r="Q66" s="7"/>
      <c r="R66" s="7"/>
      <c r="S66" s="7"/>
      <c r="T66" s="7"/>
    </row>
    <row r="67" spans="2:20" ht="60" x14ac:dyDescent="0.3">
      <c r="B67" s="102"/>
      <c r="C67" s="7" t="s">
        <v>218</v>
      </c>
      <c r="D67" s="87"/>
      <c r="E67" s="7"/>
      <c r="F67" s="7">
        <v>1</v>
      </c>
      <c r="G67" s="26" t="s">
        <v>116</v>
      </c>
      <c r="H67" s="85" t="s">
        <v>84</v>
      </c>
      <c r="I67" s="7">
        <v>5</v>
      </c>
      <c r="J67" s="7"/>
      <c r="K67" s="7"/>
      <c r="L67" s="7"/>
      <c r="M67" s="7"/>
      <c r="N67" s="7"/>
      <c r="O67" s="7"/>
      <c r="P67" s="7"/>
      <c r="Q67" s="7"/>
      <c r="R67" s="7"/>
      <c r="S67" s="7"/>
      <c r="T67" s="7"/>
    </row>
    <row r="69" spans="2:20" ht="15" thickBot="1" x14ac:dyDescent="0.35"/>
    <row r="70" spans="2:20" ht="16.2" thickBot="1" x14ac:dyDescent="0.35">
      <c r="C70" s="3" t="s">
        <v>55</v>
      </c>
      <c r="D70" s="3"/>
      <c r="E70" s="11"/>
      <c r="F70" s="12">
        <f>SUM(F6)</f>
        <v>59</v>
      </c>
      <c r="G70" s="4"/>
      <c r="H70" s="62" t="s">
        <v>293</v>
      </c>
      <c r="I70" s="63">
        <f>SUM(I7:I67)</f>
        <v>81</v>
      </c>
    </row>
    <row r="71" spans="2:20" ht="16.2" thickBot="1" x14ac:dyDescent="0.35">
      <c r="C71" s="4"/>
      <c r="D71" s="4"/>
      <c r="E71" s="4"/>
      <c r="F71" s="4"/>
      <c r="G71" s="4"/>
      <c r="H71" s="64" t="s">
        <v>294</v>
      </c>
      <c r="I71" s="65">
        <f>I70/8</f>
        <v>10.125</v>
      </c>
    </row>
  </sheetData>
  <mergeCells count="21">
    <mergeCell ref="B7:B10"/>
    <mergeCell ref="D41:D44"/>
    <mergeCell ref="D45:D48"/>
    <mergeCell ref="D49:D52"/>
    <mergeCell ref="B64:B67"/>
    <mergeCell ref="B2:T2"/>
    <mergeCell ref="C3:J3"/>
    <mergeCell ref="C5:E5"/>
    <mergeCell ref="C7:C10"/>
    <mergeCell ref="C12:C14"/>
    <mergeCell ref="B12:B62"/>
    <mergeCell ref="D56:D58"/>
    <mergeCell ref="D59:D62"/>
    <mergeCell ref="C53:C62"/>
    <mergeCell ref="C34:C52"/>
    <mergeCell ref="D18:D21"/>
    <mergeCell ref="D22:D25"/>
    <mergeCell ref="D26:D29"/>
    <mergeCell ref="D30:D33"/>
    <mergeCell ref="D37:D40"/>
    <mergeCell ref="C15:C3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5D7C5-0C92-426F-8E0B-B7F0B40275F4}">
  <dimension ref="B2:T50"/>
  <sheetViews>
    <sheetView topLeftCell="A38" zoomScale="80" zoomScaleNormal="80" workbookViewId="0">
      <selection activeCell="G43" sqref="G43"/>
    </sheetView>
  </sheetViews>
  <sheetFormatPr baseColWidth="10" defaultRowHeight="14.4" x14ac:dyDescent="0.3"/>
  <cols>
    <col min="3" max="4" width="23.44140625" customWidth="1"/>
    <col min="7" max="7" width="16.44140625" customWidth="1"/>
  </cols>
  <sheetData>
    <row r="2" spans="2:20" ht="21" x14ac:dyDescent="0.3">
      <c r="B2" s="103" t="s">
        <v>421</v>
      </c>
      <c r="C2" s="103"/>
      <c r="D2" s="103"/>
      <c r="E2" s="103"/>
      <c r="F2" s="103"/>
      <c r="G2" s="103"/>
      <c r="H2" s="103"/>
      <c r="I2" s="103"/>
      <c r="J2" s="103"/>
      <c r="K2" s="103"/>
      <c r="L2" s="103"/>
      <c r="M2" s="103"/>
      <c r="N2" s="103"/>
      <c r="O2" s="103"/>
      <c r="P2" s="103"/>
      <c r="Q2" s="103"/>
      <c r="R2" s="103"/>
      <c r="S2" s="103"/>
      <c r="T2" s="103"/>
    </row>
    <row r="3" spans="2:20" ht="21" x14ac:dyDescent="0.3">
      <c r="B3" s="5" t="s">
        <v>35</v>
      </c>
      <c r="C3" s="104" t="s">
        <v>356</v>
      </c>
      <c r="D3" s="105"/>
      <c r="E3" s="105"/>
      <c r="F3" s="105"/>
      <c r="G3" s="105"/>
      <c r="H3" s="105"/>
      <c r="I3" s="105"/>
      <c r="J3" s="105"/>
      <c r="K3" s="4"/>
      <c r="L3" s="4"/>
      <c r="M3" s="4"/>
      <c r="N3" s="4"/>
      <c r="O3" s="4"/>
      <c r="P3" s="4"/>
      <c r="Q3" s="4"/>
      <c r="R3" s="4"/>
      <c r="S3" s="4"/>
      <c r="T3" s="4"/>
    </row>
    <row r="4" spans="2:20" ht="15" thickBot="1" x14ac:dyDescent="0.35">
      <c r="B4" s="4"/>
      <c r="C4" s="4"/>
      <c r="D4" s="4"/>
      <c r="E4" s="4"/>
      <c r="F4" s="4"/>
      <c r="G4" s="4"/>
      <c r="H4" s="4"/>
      <c r="I4" s="4"/>
      <c r="J4" s="4"/>
      <c r="K4" s="4"/>
      <c r="L4" s="4"/>
      <c r="M4" s="4"/>
      <c r="N4" s="4"/>
      <c r="O4" s="4"/>
      <c r="P4" s="4"/>
      <c r="Q4" s="4"/>
      <c r="R4" s="4"/>
      <c r="S4" s="4"/>
      <c r="T4" s="4"/>
    </row>
    <row r="5" spans="2:20" ht="90.6" thickBot="1" x14ac:dyDescent="0.35">
      <c r="B5" s="40" t="s">
        <v>36</v>
      </c>
      <c r="C5" s="97" t="s">
        <v>21</v>
      </c>
      <c r="D5" s="98"/>
      <c r="E5" s="98"/>
      <c r="F5" s="42" t="s">
        <v>37</v>
      </c>
      <c r="G5" s="41" t="s">
        <v>38</v>
      </c>
      <c r="H5" s="42" t="s">
        <v>3</v>
      </c>
      <c r="I5" s="42" t="s">
        <v>39</v>
      </c>
      <c r="J5" s="42" t="s">
        <v>40</v>
      </c>
      <c r="K5" s="42" t="s">
        <v>41</v>
      </c>
      <c r="L5" s="42" t="s">
        <v>42</v>
      </c>
      <c r="M5" s="42" t="s">
        <v>43</v>
      </c>
      <c r="N5" s="42" t="s">
        <v>44</v>
      </c>
      <c r="O5" s="42" t="s">
        <v>45</v>
      </c>
      <c r="P5" s="42" t="s">
        <v>46</v>
      </c>
      <c r="Q5" s="42" t="s">
        <v>47</v>
      </c>
      <c r="R5" s="42" t="s">
        <v>48</v>
      </c>
      <c r="S5" s="42" t="s">
        <v>49</v>
      </c>
      <c r="T5" s="42" t="s">
        <v>50</v>
      </c>
    </row>
    <row r="6" spans="2:20" ht="21" x14ac:dyDescent="0.3">
      <c r="B6" s="51" t="s">
        <v>191</v>
      </c>
      <c r="C6" s="88"/>
      <c r="D6" s="88"/>
      <c r="E6" s="88"/>
      <c r="F6" s="88">
        <f>SUM(F7:F45)</f>
        <v>38</v>
      </c>
      <c r="G6" s="88"/>
      <c r="H6" s="88"/>
      <c r="I6" s="35"/>
      <c r="J6" s="35"/>
      <c r="K6" s="35"/>
      <c r="L6" s="35"/>
      <c r="M6" s="35"/>
      <c r="N6" s="35"/>
      <c r="O6" s="35"/>
      <c r="P6" s="35"/>
      <c r="Q6" s="35"/>
      <c r="R6" s="35"/>
      <c r="S6" s="35"/>
      <c r="T6" s="37"/>
    </row>
    <row r="7" spans="2:20" ht="15" x14ac:dyDescent="0.3">
      <c r="B7" s="93" t="s">
        <v>120</v>
      </c>
      <c r="C7" s="101" t="s">
        <v>420</v>
      </c>
      <c r="D7" s="7" t="s">
        <v>364</v>
      </c>
      <c r="E7" s="7"/>
      <c r="F7" s="7">
        <v>1</v>
      </c>
      <c r="G7" s="26" t="s">
        <v>116</v>
      </c>
      <c r="H7" s="85" t="s">
        <v>84</v>
      </c>
      <c r="I7" s="7">
        <v>1</v>
      </c>
      <c r="J7" s="7"/>
      <c r="K7" s="7"/>
      <c r="L7" s="7"/>
      <c r="M7" s="7"/>
      <c r="N7" s="7"/>
      <c r="O7" s="7"/>
      <c r="P7" s="7"/>
      <c r="Q7" s="7"/>
      <c r="R7" s="7"/>
      <c r="S7" s="7"/>
      <c r="T7" s="7"/>
    </row>
    <row r="8" spans="2:20" ht="30" x14ac:dyDescent="0.3">
      <c r="B8" s="101"/>
      <c r="C8" s="101"/>
      <c r="D8" s="7" t="s">
        <v>419</v>
      </c>
      <c r="E8" s="7"/>
      <c r="F8" s="7">
        <v>1</v>
      </c>
      <c r="G8" s="26" t="s">
        <v>116</v>
      </c>
      <c r="H8" s="85" t="s">
        <v>84</v>
      </c>
      <c r="I8" s="7">
        <v>1</v>
      </c>
      <c r="J8" s="7"/>
      <c r="K8" s="7"/>
      <c r="L8" s="7"/>
      <c r="M8" s="7"/>
      <c r="N8" s="7"/>
      <c r="O8" s="7"/>
      <c r="P8" s="7"/>
      <c r="Q8" s="7"/>
      <c r="R8" s="7"/>
      <c r="S8" s="7"/>
      <c r="T8" s="7"/>
    </row>
    <row r="9" spans="2:20" ht="15" x14ac:dyDescent="0.3">
      <c r="B9" s="101"/>
      <c r="C9" s="101"/>
      <c r="D9" s="7" t="s">
        <v>365</v>
      </c>
      <c r="E9" s="7"/>
      <c r="F9" s="7">
        <v>1</v>
      </c>
      <c r="G9" s="26" t="s">
        <v>116</v>
      </c>
      <c r="H9" s="85" t="s">
        <v>84</v>
      </c>
      <c r="I9" s="7">
        <v>2</v>
      </c>
      <c r="J9" s="7"/>
      <c r="K9" s="7"/>
      <c r="L9" s="7"/>
      <c r="M9" s="7"/>
      <c r="N9" s="7"/>
      <c r="O9" s="7"/>
      <c r="P9" s="7"/>
      <c r="Q9" s="7"/>
      <c r="R9" s="7"/>
      <c r="S9" s="7"/>
      <c r="T9" s="7"/>
    </row>
    <row r="10" spans="2:20" ht="30" x14ac:dyDescent="0.3">
      <c r="B10" s="101"/>
      <c r="C10" s="101"/>
      <c r="D10" s="7" t="s">
        <v>366</v>
      </c>
      <c r="E10" s="7"/>
      <c r="F10" s="7">
        <v>1</v>
      </c>
      <c r="G10" s="26" t="s">
        <v>116</v>
      </c>
      <c r="H10" s="85" t="s">
        <v>84</v>
      </c>
      <c r="I10" s="7">
        <v>1</v>
      </c>
      <c r="J10" s="7"/>
      <c r="K10" s="7"/>
      <c r="L10" s="7"/>
      <c r="M10" s="7"/>
      <c r="N10" s="7"/>
      <c r="O10" s="7"/>
      <c r="P10" s="7"/>
      <c r="Q10" s="7"/>
      <c r="R10" s="7"/>
      <c r="S10" s="7"/>
      <c r="T10" s="7"/>
    </row>
    <row r="11" spans="2:20" ht="15" x14ac:dyDescent="0.3">
      <c r="B11" s="102"/>
      <c r="C11" s="102"/>
      <c r="D11" s="7" t="s">
        <v>418</v>
      </c>
      <c r="E11" s="7"/>
      <c r="F11" s="7">
        <v>1</v>
      </c>
      <c r="G11" s="26" t="s">
        <v>116</v>
      </c>
      <c r="H11" s="85" t="s">
        <v>84</v>
      </c>
      <c r="I11" s="7">
        <v>1</v>
      </c>
      <c r="J11" s="7"/>
      <c r="K11" s="7"/>
      <c r="L11" s="7"/>
      <c r="M11" s="7"/>
      <c r="N11" s="7"/>
      <c r="O11" s="7"/>
      <c r="P11" s="7"/>
      <c r="Q11" s="7"/>
      <c r="R11" s="7"/>
      <c r="S11" s="7"/>
      <c r="T11" s="7"/>
    </row>
    <row r="12" spans="2:20" ht="15.6" thickBot="1" x14ac:dyDescent="0.35">
      <c r="B12" s="27"/>
      <c r="C12" s="68"/>
      <c r="D12" s="28"/>
      <c r="E12" s="28"/>
      <c r="F12" s="28"/>
      <c r="G12" s="28"/>
      <c r="H12" s="28"/>
      <c r="I12" s="28"/>
      <c r="J12" s="28"/>
      <c r="K12" s="28"/>
      <c r="L12" s="28"/>
      <c r="M12" s="28"/>
      <c r="N12" s="28"/>
      <c r="O12" s="28"/>
      <c r="P12" s="28"/>
      <c r="Q12" s="28"/>
      <c r="R12" s="28"/>
      <c r="S12" s="28"/>
      <c r="T12" s="28"/>
    </row>
    <row r="13" spans="2:20" ht="30" x14ac:dyDescent="0.3">
      <c r="B13" s="100" t="s">
        <v>160</v>
      </c>
      <c r="C13" s="93" t="s">
        <v>417</v>
      </c>
      <c r="D13" s="93" t="s">
        <v>416</v>
      </c>
      <c r="E13" s="7" t="s">
        <v>413</v>
      </c>
      <c r="F13" s="7">
        <v>1</v>
      </c>
      <c r="G13" s="26" t="s">
        <v>116</v>
      </c>
      <c r="H13" s="85" t="s">
        <v>84</v>
      </c>
      <c r="I13" s="7">
        <v>1</v>
      </c>
      <c r="J13" s="7"/>
      <c r="K13" s="7"/>
      <c r="L13" s="7"/>
      <c r="M13" s="7"/>
      <c r="N13" s="7"/>
      <c r="O13" s="7"/>
      <c r="P13" s="7"/>
      <c r="Q13" s="7"/>
      <c r="R13" s="7"/>
      <c r="S13" s="7"/>
      <c r="T13" s="7"/>
    </row>
    <row r="14" spans="2:20" ht="30" x14ac:dyDescent="0.3">
      <c r="B14" s="101"/>
      <c r="C14" s="101"/>
      <c r="D14" s="101"/>
      <c r="E14" s="7" t="s">
        <v>412</v>
      </c>
      <c r="F14" s="7">
        <v>1</v>
      </c>
      <c r="G14" s="26" t="s">
        <v>116</v>
      </c>
      <c r="H14" s="85" t="s">
        <v>84</v>
      </c>
      <c r="I14" s="7">
        <v>1</v>
      </c>
      <c r="J14" s="7"/>
      <c r="K14" s="7"/>
      <c r="L14" s="7"/>
      <c r="M14" s="7"/>
      <c r="N14" s="7"/>
      <c r="O14" s="7"/>
      <c r="P14" s="7"/>
      <c r="Q14" s="7"/>
      <c r="R14" s="7"/>
      <c r="S14" s="7"/>
      <c r="T14" s="7"/>
    </row>
    <row r="15" spans="2:20" ht="30" x14ac:dyDescent="0.3">
      <c r="B15" s="101"/>
      <c r="C15" s="101"/>
      <c r="D15" s="101"/>
      <c r="E15" s="7" t="s">
        <v>378</v>
      </c>
      <c r="F15" s="7">
        <v>1</v>
      </c>
      <c r="G15" s="26" t="s">
        <v>116</v>
      </c>
      <c r="H15" s="85"/>
      <c r="I15" s="7">
        <v>1</v>
      </c>
      <c r="J15" s="7"/>
      <c r="K15" s="7"/>
      <c r="L15" s="7"/>
      <c r="M15" s="7"/>
      <c r="N15" s="7"/>
      <c r="O15" s="7"/>
      <c r="P15" s="7"/>
      <c r="Q15" s="7"/>
      <c r="R15" s="7"/>
      <c r="S15" s="7"/>
      <c r="T15" s="7"/>
    </row>
    <row r="16" spans="2:20" ht="30" x14ac:dyDescent="0.3">
      <c r="B16" s="101"/>
      <c r="C16" s="101"/>
      <c r="D16" s="101"/>
      <c r="E16" s="7" t="s">
        <v>182</v>
      </c>
      <c r="F16" s="7">
        <v>1</v>
      </c>
      <c r="G16" s="26" t="s">
        <v>116</v>
      </c>
      <c r="H16" s="85" t="s">
        <v>84</v>
      </c>
      <c r="I16" s="7">
        <v>1</v>
      </c>
      <c r="J16" s="7"/>
      <c r="K16" s="7"/>
      <c r="L16" s="7"/>
      <c r="M16" s="7"/>
      <c r="N16" s="7"/>
      <c r="O16" s="7"/>
      <c r="P16" s="7"/>
      <c r="Q16" s="7"/>
      <c r="R16" s="7"/>
      <c r="S16" s="7"/>
      <c r="T16" s="7"/>
    </row>
    <row r="17" spans="2:20" ht="45" x14ac:dyDescent="0.3">
      <c r="B17" s="101"/>
      <c r="C17" s="101"/>
      <c r="D17" s="101"/>
      <c r="E17" s="7" t="s">
        <v>312</v>
      </c>
      <c r="F17" s="7">
        <v>1</v>
      </c>
      <c r="G17" s="26" t="s">
        <v>116</v>
      </c>
      <c r="H17" s="85" t="s">
        <v>84</v>
      </c>
      <c r="I17" s="7">
        <v>1</v>
      </c>
      <c r="J17" s="7"/>
      <c r="K17" s="7"/>
      <c r="L17" s="7"/>
      <c r="M17" s="7"/>
      <c r="N17" s="7"/>
      <c r="O17" s="7"/>
      <c r="P17" s="7"/>
      <c r="Q17" s="7"/>
      <c r="R17" s="7"/>
      <c r="S17" s="7"/>
      <c r="T17" s="7"/>
    </row>
    <row r="18" spans="2:20" ht="75" x14ac:dyDescent="0.3">
      <c r="B18" s="101"/>
      <c r="C18" s="101"/>
      <c r="D18" s="102"/>
      <c r="E18" s="7" t="s">
        <v>411</v>
      </c>
      <c r="F18" s="7">
        <v>1</v>
      </c>
      <c r="G18" s="26" t="s">
        <v>116</v>
      </c>
      <c r="H18" s="85" t="s">
        <v>84</v>
      </c>
      <c r="I18" s="7">
        <v>2</v>
      </c>
      <c r="J18" s="7"/>
      <c r="K18" s="7"/>
      <c r="L18" s="7"/>
      <c r="M18" s="7"/>
      <c r="N18" s="7"/>
      <c r="O18" s="7"/>
      <c r="P18" s="7"/>
      <c r="Q18" s="7"/>
      <c r="R18" s="7"/>
      <c r="S18" s="7"/>
      <c r="T18" s="7"/>
    </row>
    <row r="19" spans="2:20" ht="30" x14ac:dyDescent="0.3">
      <c r="B19" s="101"/>
      <c r="C19" s="101"/>
      <c r="D19" s="93" t="s">
        <v>415</v>
      </c>
      <c r="E19" s="7" t="s">
        <v>413</v>
      </c>
      <c r="F19" s="7">
        <v>1</v>
      </c>
      <c r="G19" s="26" t="s">
        <v>116</v>
      </c>
      <c r="H19" s="85" t="s">
        <v>84</v>
      </c>
      <c r="I19" s="7">
        <v>1</v>
      </c>
      <c r="J19" s="7"/>
      <c r="K19" s="7"/>
      <c r="L19" s="7"/>
      <c r="M19" s="7"/>
      <c r="N19" s="7"/>
      <c r="O19" s="7"/>
      <c r="P19" s="7"/>
      <c r="Q19" s="7"/>
      <c r="R19" s="7"/>
      <c r="S19" s="7"/>
      <c r="T19" s="7"/>
    </row>
    <row r="20" spans="2:20" ht="30" x14ac:dyDescent="0.3">
      <c r="B20" s="101"/>
      <c r="C20" s="101"/>
      <c r="D20" s="101"/>
      <c r="E20" s="7" t="s">
        <v>378</v>
      </c>
      <c r="F20" s="7">
        <v>1</v>
      </c>
      <c r="G20" s="26" t="s">
        <v>116</v>
      </c>
      <c r="H20" s="85"/>
      <c r="I20" s="7">
        <v>1</v>
      </c>
      <c r="J20" s="7"/>
      <c r="K20" s="7"/>
      <c r="L20" s="7"/>
      <c r="M20" s="7"/>
      <c r="N20" s="7"/>
      <c r="O20" s="7"/>
      <c r="P20" s="7"/>
      <c r="Q20" s="7"/>
      <c r="R20" s="7"/>
      <c r="S20" s="7"/>
      <c r="T20" s="7"/>
    </row>
    <row r="21" spans="2:20" ht="30" x14ac:dyDescent="0.3">
      <c r="B21" s="101"/>
      <c r="C21" s="101"/>
      <c r="D21" s="101"/>
      <c r="E21" s="7" t="s">
        <v>412</v>
      </c>
      <c r="F21" s="7">
        <v>1</v>
      </c>
      <c r="G21" s="26" t="s">
        <v>116</v>
      </c>
      <c r="H21" s="85" t="s">
        <v>84</v>
      </c>
      <c r="I21" s="7">
        <v>1</v>
      </c>
      <c r="J21" s="7"/>
      <c r="K21" s="7"/>
      <c r="L21" s="7"/>
      <c r="M21" s="7"/>
      <c r="N21" s="7"/>
      <c r="O21" s="7"/>
      <c r="P21" s="7"/>
      <c r="Q21" s="7"/>
      <c r="R21" s="7"/>
      <c r="S21" s="7"/>
      <c r="T21" s="7"/>
    </row>
    <row r="22" spans="2:20" ht="30" x14ac:dyDescent="0.3">
      <c r="B22" s="101"/>
      <c r="C22" s="101"/>
      <c r="D22" s="101"/>
      <c r="E22" s="7" t="s">
        <v>182</v>
      </c>
      <c r="F22" s="7">
        <v>1</v>
      </c>
      <c r="G22" s="26" t="s">
        <v>116</v>
      </c>
      <c r="H22" s="85" t="s">
        <v>84</v>
      </c>
      <c r="I22" s="7">
        <v>1</v>
      </c>
      <c r="J22" s="7"/>
      <c r="K22" s="7"/>
      <c r="L22" s="7"/>
      <c r="M22" s="7"/>
      <c r="N22" s="7"/>
      <c r="O22" s="7"/>
      <c r="P22" s="7"/>
      <c r="Q22" s="7"/>
      <c r="R22" s="7"/>
      <c r="S22" s="7"/>
      <c r="T22" s="7"/>
    </row>
    <row r="23" spans="2:20" ht="45" x14ac:dyDescent="0.3">
      <c r="B23" s="101"/>
      <c r="C23" s="101"/>
      <c r="D23" s="101"/>
      <c r="E23" s="7" t="s">
        <v>312</v>
      </c>
      <c r="F23" s="7">
        <v>1</v>
      </c>
      <c r="G23" s="26" t="s">
        <v>116</v>
      </c>
      <c r="H23" s="85" t="s">
        <v>84</v>
      </c>
      <c r="I23" s="7">
        <v>1</v>
      </c>
      <c r="J23" s="7"/>
      <c r="K23" s="7"/>
      <c r="L23" s="7"/>
      <c r="M23" s="7"/>
      <c r="N23" s="7"/>
      <c r="O23" s="7"/>
      <c r="P23" s="7"/>
      <c r="Q23" s="7"/>
      <c r="R23" s="7"/>
      <c r="S23" s="7"/>
      <c r="T23" s="7"/>
    </row>
    <row r="24" spans="2:20" ht="75" x14ac:dyDescent="0.3">
      <c r="B24" s="101"/>
      <c r="C24" s="101"/>
      <c r="D24" s="102"/>
      <c r="E24" s="7" t="s">
        <v>411</v>
      </c>
      <c r="F24" s="7">
        <v>1</v>
      </c>
      <c r="G24" s="26" t="s">
        <v>116</v>
      </c>
      <c r="H24" s="85" t="s">
        <v>84</v>
      </c>
      <c r="I24" s="7">
        <v>2</v>
      </c>
      <c r="J24" s="7"/>
      <c r="K24" s="7"/>
      <c r="L24" s="7"/>
      <c r="M24" s="7"/>
      <c r="N24" s="7"/>
      <c r="O24" s="7"/>
      <c r="P24" s="7"/>
      <c r="Q24" s="7"/>
      <c r="R24" s="7"/>
      <c r="S24" s="7"/>
      <c r="T24" s="7"/>
    </row>
    <row r="25" spans="2:20" ht="30" x14ac:dyDescent="0.3">
      <c r="B25" s="101"/>
      <c r="C25" s="101"/>
      <c r="D25" s="93" t="s">
        <v>414</v>
      </c>
      <c r="E25" s="7" t="s">
        <v>413</v>
      </c>
      <c r="F25" s="7">
        <v>1</v>
      </c>
      <c r="G25" s="26" t="s">
        <v>116</v>
      </c>
      <c r="H25" s="85" t="s">
        <v>84</v>
      </c>
      <c r="I25" s="7">
        <v>1</v>
      </c>
      <c r="J25" s="7"/>
      <c r="K25" s="7"/>
      <c r="L25" s="7"/>
      <c r="M25" s="7"/>
      <c r="N25" s="7"/>
      <c r="O25" s="7"/>
      <c r="P25" s="7"/>
      <c r="Q25" s="7"/>
      <c r="R25" s="7"/>
      <c r="S25" s="7"/>
      <c r="T25" s="7"/>
    </row>
    <row r="26" spans="2:20" ht="30" x14ac:dyDescent="0.3">
      <c r="B26" s="101"/>
      <c r="C26" s="101"/>
      <c r="D26" s="101"/>
      <c r="E26" s="7" t="s">
        <v>378</v>
      </c>
      <c r="F26" s="7">
        <v>1</v>
      </c>
      <c r="G26" s="26" t="s">
        <v>116</v>
      </c>
      <c r="H26" s="85"/>
      <c r="I26" s="7">
        <v>1</v>
      </c>
      <c r="J26" s="7"/>
      <c r="K26" s="7"/>
      <c r="L26" s="7"/>
      <c r="M26" s="7"/>
      <c r="N26" s="7"/>
      <c r="O26" s="7"/>
      <c r="P26" s="7"/>
      <c r="Q26" s="7"/>
      <c r="R26" s="7"/>
      <c r="S26" s="7"/>
      <c r="T26" s="7"/>
    </row>
    <row r="27" spans="2:20" ht="30" x14ac:dyDescent="0.3">
      <c r="B27" s="101"/>
      <c r="C27" s="101"/>
      <c r="D27" s="101"/>
      <c r="E27" s="7" t="s">
        <v>412</v>
      </c>
      <c r="F27" s="7">
        <v>1</v>
      </c>
      <c r="G27" s="26" t="s">
        <v>116</v>
      </c>
      <c r="H27" s="85" t="s">
        <v>84</v>
      </c>
      <c r="I27" s="7">
        <v>1</v>
      </c>
      <c r="J27" s="7"/>
      <c r="K27" s="7"/>
      <c r="L27" s="7"/>
      <c r="M27" s="7"/>
      <c r="N27" s="7"/>
      <c r="O27" s="7"/>
      <c r="P27" s="7"/>
      <c r="Q27" s="7"/>
      <c r="R27" s="7"/>
      <c r="S27" s="7"/>
      <c r="T27" s="7"/>
    </row>
    <row r="28" spans="2:20" ht="30" x14ac:dyDescent="0.3">
      <c r="B28" s="101"/>
      <c r="C28" s="101"/>
      <c r="D28" s="101"/>
      <c r="E28" s="7" t="s">
        <v>182</v>
      </c>
      <c r="F28" s="7">
        <v>1</v>
      </c>
      <c r="G28" s="26" t="s">
        <v>116</v>
      </c>
      <c r="H28" s="85" t="s">
        <v>84</v>
      </c>
      <c r="I28" s="7">
        <v>1</v>
      </c>
      <c r="J28" s="7"/>
      <c r="K28" s="7"/>
      <c r="L28" s="7"/>
      <c r="M28" s="7"/>
      <c r="N28" s="7"/>
      <c r="O28" s="7"/>
      <c r="P28" s="7"/>
      <c r="Q28" s="7"/>
      <c r="R28" s="7"/>
      <c r="S28" s="7"/>
      <c r="T28" s="7"/>
    </row>
    <row r="29" spans="2:20" ht="45" x14ac:dyDescent="0.3">
      <c r="B29" s="101"/>
      <c r="C29" s="101"/>
      <c r="D29" s="101"/>
      <c r="E29" s="7" t="s">
        <v>312</v>
      </c>
      <c r="F29" s="7">
        <v>1</v>
      </c>
      <c r="G29" s="26" t="s">
        <v>116</v>
      </c>
      <c r="H29" s="85" t="s">
        <v>84</v>
      </c>
      <c r="I29" s="7">
        <v>1</v>
      </c>
      <c r="J29" s="7"/>
      <c r="K29" s="7"/>
      <c r="L29" s="7"/>
      <c r="M29" s="7"/>
      <c r="N29" s="7"/>
      <c r="O29" s="7"/>
      <c r="P29" s="7"/>
      <c r="Q29" s="7"/>
      <c r="R29" s="7"/>
      <c r="S29" s="7"/>
      <c r="T29" s="7"/>
    </row>
    <row r="30" spans="2:20" ht="75" x14ac:dyDescent="0.3">
      <c r="B30" s="101"/>
      <c r="C30" s="102"/>
      <c r="D30" s="102"/>
      <c r="E30" s="7" t="s">
        <v>411</v>
      </c>
      <c r="F30" s="7">
        <v>1</v>
      </c>
      <c r="G30" s="26" t="s">
        <v>116</v>
      </c>
      <c r="H30" s="85" t="s">
        <v>84</v>
      </c>
      <c r="I30" s="7">
        <v>2</v>
      </c>
      <c r="J30" s="7"/>
      <c r="K30" s="7"/>
      <c r="L30" s="7"/>
      <c r="M30" s="7"/>
      <c r="N30" s="7"/>
      <c r="O30" s="7"/>
      <c r="P30" s="7"/>
      <c r="Q30" s="7"/>
      <c r="R30" s="7"/>
      <c r="S30" s="7"/>
      <c r="T30" s="7"/>
    </row>
    <row r="31" spans="2:20" ht="30" x14ac:dyDescent="0.3">
      <c r="B31" s="101"/>
      <c r="C31" s="93" t="s">
        <v>410</v>
      </c>
      <c r="D31" s="7" t="s">
        <v>409</v>
      </c>
      <c r="E31" s="7"/>
      <c r="F31" s="7">
        <v>1</v>
      </c>
      <c r="G31" s="26" t="s">
        <v>116</v>
      </c>
      <c r="H31" s="85" t="s">
        <v>84</v>
      </c>
      <c r="I31" s="7">
        <v>1</v>
      </c>
      <c r="J31" s="7"/>
      <c r="K31" s="7"/>
      <c r="L31" s="7"/>
      <c r="M31" s="7"/>
      <c r="N31" s="7"/>
      <c r="O31" s="7"/>
      <c r="P31" s="7"/>
      <c r="Q31" s="7"/>
      <c r="R31" s="7"/>
      <c r="S31" s="7"/>
      <c r="T31" s="7"/>
    </row>
    <row r="32" spans="2:20" ht="15" x14ac:dyDescent="0.3">
      <c r="B32" s="101"/>
      <c r="C32" s="101"/>
      <c r="D32" s="7" t="s">
        <v>71</v>
      </c>
      <c r="E32" s="7"/>
      <c r="F32" s="7">
        <v>1</v>
      </c>
      <c r="G32" s="26" t="s">
        <v>116</v>
      </c>
      <c r="H32" s="85" t="s">
        <v>84</v>
      </c>
      <c r="I32" s="7">
        <v>1</v>
      </c>
      <c r="J32" s="7"/>
      <c r="K32" s="7"/>
      <c r="L32" s="7"/>
      <c r="M32" s="7"/>
      <c r="N32" s="7"/>
      <c r="O32" s="7"/>
      <c r="P32" s="7"/>
      <c r="Q32" s="7"/>
      <c r="R32" s="7"/>
      <c r="S32" s="7"/>
      <c r="T32" s="7"/>
    </row>
    <row r="33" spans="2:20" ht="30" x14ac:dyDescent="0.3">
      <c r="B33" s="101"/>
      <c r="C33" s="101"/>
      <c r="D33" s="7" t="s">
        <v>408</v>
      </c>
      <c r="E33" s="7"/>
      <c r="F33" s="7">
        <v>1</v>
      </c>
      <c r="G33" s="26" t="s">
        <v>116</v>
      </c>
      <c r="H33" s="85" t="s">
        <v>84</v>
      </c>
      <c r="I33" s="7">
        <v>1</v>
      </c>
      <c r="J33" s="7"/>
      <c r="K33" s="7"/>
      <c r="L33" s="7"/>
      <c r="M33" s="7"/>
      <c r="N33" s="7"/>
      <c r="O33" s="7"/>
      <c r="P33" s="7"/>
      <c r="Q33" s="7"/>
      <c r="R33" s="7"/>
      <c r="S33" s="7"/>
      <c r="T33" s="7"/>
    </row>
    <row r="34" spans="2:20" ht="30" x14ac:dyDescent="0.3">
      <c r="B34" s="101"/>
      <c r="C34" s="101"/>
      <c r="D34" s="7" t="s">
        <v>407</v>
      </c>
      <c r="E34" s="7"/>
      <c r="F34" s="7">
        <v>1</v>
      </c>
      <c r="G34" s="26" t="s">
        <v>116</v>
      </c>
      <c r="H34" s="85" t="s">
        <v>84</v>
      </c>
      <c r="I34" s="7">
        <v>1</v>
      </c>
      <c r="J34" s="7"/>
      <c r="K34" s="7"/>
      <c r="L34" s="7"/>
      <c r="M34" s="7"/>
      <c r="N34" s="7"/>
      <c r="O34" s="7"/>
      <c r="P34" s="7"/>
      <c r="Q34" s="7"/>
      <c r="R34" s="7"/>
      <c r="S34" s="7"/>
      <c r="T34" s="7"/>
    </row>
    <row r="35" spans="2:20" ht="30" x14ac:dyDescent="0.3">
      <c r="B35" s="101"/>
      <c r="C35" s="101"/>
      <c r="D35" s="7" t="s">
        <v>406</v>
      </c>
      <c r="E35" s="7"/>
      <c r="F35" s="7">
        <v>1</v>
      </c>
      <c r="G35" s="26" t="s">
        <v>116</v>
      </c>
      <c r="H35" s="85" t="s">
        <v>84</v>
      </c>
      <c r="I35" s="7">
        <v>2</v>
      </c>
      <c r="J35" s="7"/>
      <c r="K35" s="7"/>
      <c r="L35" s="7"/>
      <c r="M35" s="7"/>
      <c r="N35" s="7"/>
      <c r="O35" s="7"/>
      <c r="P35" s="7"/>
      <c r="Q35" s="7"/>
      <c r="R35" s="7"/>
      <c r="S35" s="7"/>
      <c r="T35" s="7"/>
    </row>
    <row r="36" spans="2:20" ht="15" x14ac:dyDescent="0.3">
      <c r="B36" s="101"/>
      <c r="C36" s="101"/>
      <c r="D36" s="7" t="s">
        <v>405</v>
      </c>
      <c r="E36" s="7"/>
      <c r="F36" s="7">
        <v>1</v>
      </c>
      <c r="G36" s="26" t="s">
        <v>116</v>
      </c>
      <c r="H36" s="85" t="s">
        <v>84</v>
      </c>
      <c r="I36" s="7">
        <v>1</v>
      </c>
      <c r="J36" s="7"/>
      <c r="K36" s="7"/>
      <c r="L36" s="7"/>
      <c r="M36" s="7"/>
      <c r="N36" s="7"/>
      <c r="O36" s="7"/>
      <c r="P36" s="7"/>
      <c r="Q36" s="7"/>
      <c r="R36" s="7"/>
      <c r="S36" s="7"/>
      <c r="T36" s="7"/>
    </row>
    <row r="37" spans="2:20" ht="30" x14ac:dyDescent="0.3">
      <c r="B37" s="101"/>
      <c r="C37" s="101"/>
      <c r="D37" s="16" t="s">
        <v>404</v>
      </c>
      <c r="E37" s="7"/>
      <c r="F37" s="7">
        <v>1</v>
      </c>
      <c r="G37" s="26" t="s">
        <v>116</v>
      </c>
      <c r="H37" s="85" t="s">
        <v>84</v>
      </c>
      <c r="I37" s="7">
        <v>1</v>
      </c>
      <c r="J37" s="7"/>
      <c r="K37" s="7"/>
      <c r="L37" s="7"/>
      <c r="M37" s="7"/>
      <c r="N37" s="7"/>
      <c r="O37" s="7"/>
      <c r="P37" s="7"/>
      <c r="Q37" s="7"/>
      <c r="R37" s="7"/>
      <c r="S37" s="7"/>
      <c r="T37" s="7"/>
    </row>
    <row r="38" spans="2:20" ht="15" x14ac:dyDescent="0.3">
      <c r="B38" s="101"/>
      <c r="C38" s="101"/>
      <c r="D38" s="7" t="s">
        <v>403</v>
      </c>
      <c r="E38" s="7"/>
      <c r="F38" s="7">
        <v>1</v>
      </c>
      <c r="G38" s="26" t="s">
        <v>116</v>
      </c>
      <c r="H38" s="85" t="s">
        <v>84</v>
      </c>
      <c r="I38" s="7">
        <v>2</v>
      </c>
      <c r="J38" s="7"/>
      <c r="K38" s="7"/>
      <c r="L38" s="7"/>
      <c r="M38" s="7"/>
      <c r="N38" s="7"/>
      <c r="O38" s="7"/>
      <c r="P38" s="7"/>
      <c r="Q38" s="7"/>
      <c r="R38" s="7"/>
      <c r="S38" s="7"/>
      <c r="T38" s="7"/>
    </row>
    <row r="39" spans="2:20" ht="30" x14ac:dyDescent="0.3">
      <c r="B39" s="101"/>
      <c r="C39" s="101"/>
      <c r="D39" s="7" t="s">
        <v>402</v>
      </c>
      <c r="E39" s="7"/>
      <c r="F39" s="7">
        <v>1</v>
      </c>
      <c r="G39" s="26" t="s">
        <v>116</v>
      </c>
      <c r="H39" s="85" t="s">
        <v>84</v>
      </c>
      <c r="I39" s="7">
        <v>1</v>
      </c>
      <c r="J39" s="7"/>
      <c r="K39" s="7"/>
      <c r="L39" s="7"/>
      <c r="M39" s="7"/>
      <c r="N39" s="7"/>
      <c r="O39" s="7"/>
      <c r="P39" s="7"/>
      <c r="Q39" s="7"/>
      <c r="R39" s="7"/>
      <c r="S39" s="7"/>
      <c r="T39" s="7"/>
    </row>
    <row r="40" spans="2:20" ht="30" x14ac:dyDescent="0.3">
      <c r="B40" s="102"/>
      <c r="C40" s="102"/>
      <c r="D40" s="7" t="s">
        <v>401</v>
      </c>
      <c r="E40" s="7"/>
      <c r="F40" s="7">
        <v>1</v>
      </c>
      <c r="G40" s="26" t="s">
        <v>116</v>
      </c>
      <c r="H40" s="85" t="s">
        <v>84</v>
      </c>
      <c r="I40" s="7">
        <v>1</v>
      </c>
      <c r="J40" s="7"/>
      <c r="K40" s="7"/>
      <c r="L40" s="7"/>
      <c r="M40" s="7"/>
      <c r="N40" s="7"/>
      <c r="O40" s="7"/>
      <c r="P40" s="7"/>
      <c r="Q40" s="7"/>
      <c r="R40" s="7"/>
      <c r="S40" s="7"/>
      <c r="T40" s="7"/>
    </row>
    <row r="41" spans="2:20" ht="15.6" thickBot="1" x14ac:dyDescent="0.35">
      <c r="B41" s="27"/>
      <c r="C41" s="68"/>
      <c r="D41" s="28"/>
      <c r="E41" s="28"/>
      <c r="F41" s="28"/>
      <c r="G41" s="28"/>
      <c r="H41" s="28"/>
      <c r="I41" s="28"/>
      <c r="J41" s="28"/>
      <c r="K41" s="28"/>
      <c r="L41" s="28"/>
      <c r="M41" s="28"/>
      <c r="N41" s="28"/>
      <c r="O41" s="28"/>
      <c r="P41" s="28"/>
      <c r="Q41" s="28"/>
      <c r="R41" s="28"/>
      <c r="S41" s="28"/>
      <c r="T41" s="28"/>
    </row>
    <row r="42" spans="2:20" ht="45" x14ac:dyDescent="0.3">
      <c r="B42" s="93" t="s">
        <v>167</v>
      </c>
      <c r="C42" s="36" t="s">
        <v>217</v>
      </c>
      <c r="D42" s="7"/>
      <c r="E42" s="7"/>
      <c r="F42" s="7">
        <v>1</v>
      </c>
      <c r="G42" s="26" t="s">
        <v>116</v>
      </c>
      <c r="H42" s="85" t="s">
        <v>84</v>
      </c>
      <c r="I42" s="7">
        <v>5</v>
      </c>
      <c r="J42" s="7"/>
      <c r="K42" s="7"/>
      <c r="L42" s="7"/>
      <c r="M42" s="7"/>
      <c r="N42" s="7"/>
      <c r="O42" s="7"/>
      <c r="P42" s="7"/>
      <c r="Q42" s="7"/>
      <c r="R42" s="7"/>
      <c r="S42" s="7"/>
      <c r="T42" s="7"/>
    </row>
    <row r="43" spans="2:20" ht="30" x14ac:dyDescent="0.3">
      <c r="B43" s="101"/>
      <c r="C43" s="36" t="s">
        <v>400</v>
      </c>
      <c r="D43" s="7"/>
      <c r="E43" s="7"/>
      <c r="F43" s="7">
        <v>1</v>
      </c>
      <c r="G43" s="26" t="s">
        <v>116</v>
      </c>
      <c r="H43" s="85" t="s">
        <v>84</v>
      </c>
      <c r="I43" s="7">
        <v>4</v>
      </c>
      <c r="J43" s="7"/>
      <c r="K43" s="7"/>
      <c r="L43" s="7"/>
      <c r="M43" s="7"/>
      <c r="N43" s="7"/>
      <c r="O43" s="7"/>
      <c r="P43" s="7"/>
      <c r="Q43" s="7"/>
      <c r="R43" s="7"/>
      <c r="S43" s="7"/>
      <c r="T43" s="7"/>
    </row>
    <row r="44" spans="2:20" ht="60" x14ac:dyDescent="0.3">
      <c r="B44" s="101"/>
      <c r="C44" s="36" t="s">
        <v>216</v>
      </c>
      <c r="D44" s="7"/>
      <c r="E44" s="7"/>
      <c r="F44" s="7">
        <v>1</v>
      </c>
      <c r="G44" s="26" t="s">
        <v>116</v>
      </c>
      <c r="H44" s="85" t="s">
        <v>84</v>
      </c>
      <c r="I44" s="7">
        <v>5</v>
      </c>
      <c r="J44" s="7"/>
      <c r="K44" s="7"/>
      <c r="L44" s="7"/>
      <c r="M44" s="7"/>
      <c r="N44" s="7"/>
      <c r="O44" s="7"/>
      <c r="P44" s="7"/>
      <c r="Q44" s="7"/>
      <c r="R44" s="7"/>
      <c r="S44" s="7"/>
      <c r="T44" s="7"/>
    </row>
    <row r="45" spans="2:20" ht="30" x14ac:dyDescent="0.3">
      <c r="B45" s="102"/>
      <c r="C45" s="36" t="s">
        <v>399</v>
      </c>
      <c r="D45" s="7"/>
      <c r="E45" s="7"/>
      <c r="F45" s="7">
        <v>2</v>
      </c>
      <c r="G45" s="26" t="s">
        <v>116</v>
      </c>
      <c r="H45" s="85" t="s">
        <v>84</v>
      </c>
      <c r="I45" s="7">
        <v>6</v>
      </c>
      <c r="J45" s="7"/>
      <c r="K45" s="7"/>
      <c r="L45" s="7"/>
      <c r="M45" s="7"/>
      <c r="N45" s="7"/>
      <c r="O45" s="7"/>
      <c r="P45" s="7"/>
      <c r="Q45" s="7"/>
      <c r="R45" s="7"/>
      <c r="S45" s="7"/>
      <c r="T45" s="7"/>
    </row>
    <row r="48" spans="2:20" ht="15" thickBot="1" x14ac:dyDescent="0.35"/>
    <row r="49" spans="3:9" ht="16.2" thickBot="1" x14ac:dyDescent="0.35">
      <c r="C49" s="3" t="s">
        <v>55</v>
      </c>
      <c r="D49" s="3"/>
      <c r="E49" s="11"/>
      <c r="F49" s="12">
        <f>SUM(F6)</f>
        <v>38</v>
      </c>
      <c r="G49" s="4"/>
      <c r="H49" s="62" t="s">
        <v>293</v>
      </c>
      <c r="I49" s="63">
        <f>SUM(I7:I45)</f>
        <v>59</v>
      </c>
    </row>
    <row r="50" spans="3:9" ht="16.2" thickBot="1" x14ac:dyDescent="0.35">
      <c r="C50" s="4"/>
      <c r="D50" s="4"/>
      <c r="E50" s="4"/>
      <c r="F50" s="4"/>
      <c r="G50" s="4"/>
      <c r="H50" s="64" t="s">
        <v>294</v>
      </c>
      <c r="I50" s="65">
        <f>I49/8</f>
        <v>7.375</v>
      </c>
    </row>
  </sheetData>
  <mergeCells count="12">
    <mergeCell ref="B2:T2"/>
    <mergeCell ref="C3:J3"/>
    <mergeCell ref="C5:E5"/>
    <mergeCell ref="C31:C40"/>
    <mergeCell ref="B7:B11"/>
    <mergeCell ref="B13:B40"/>
    <mergeCell ref="B42:B45"/>
    <mergeCell ref="C7:C11"/>
    <mergeCell ref="D13:D18"/>
    <mergeCell ref="D19:D24"/>
    <mergeCell ref="D25:D30"/>
    <mergeCell ref="C13:C3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71351-F2B6-4255-9471-B9612BFAD0D2}">
  <dimension ref="B2:T38"/>
  <sheetViews>
    <sheetView topLeftCell="A9" zoomScale="60" zoomScaleNormal="60" workbookViewId="0">
      <selection activeCell="Z28" sqref="Z28"/>
    </sheetView>
  </sheetViews>
  <sheetFormatPr baseColWidth="10" defaultRowHeight="14.4" x14ac:dyDescent="0.3"/>
  <cols>
    <col min="2" max="2" width="15.109375" bestFit="1" customWidth="1"/>
    <col min="3" max="3" width="40.6640625" bestFit="1" customWidth="1"/>
    <col min="4" max="4" width="30.21875" bestFit="1" customWidth="1"/>
    <col min="5" max="5" width="21.6640625" bestFit="1" customWidth="1"/>
    <col min="6" max="6" width="12.21875" bestFit="1" customWidth="1"/>
    <col min="7" max="7" width="22.33203125" customWidth="1"/>
    <col min="8" max="8" width="15.109375" bestFit="1" customWidth="1"/>
    <col min="9" max="9" width="11.21875" bestFit="1" customWidth="1"/>
    <col min="10" max="18" width="6.44140625" bestFit="1" customWidth="1"/>
    <col min="19" max="19" width="7.77734375" bestFit="1" customWidth="1"/>
    <col min="20" max="20" width="13.88671875" bestFit="1" customWidth="1"/>
  </cols>
  <sheetData>
    <row r="2" spans="2:20" ht="21" x14ac:dyDescent="0.3">
      <c r="B2" s="103" t="s">
        <v>444</v>
      </c>
      <c r="C2" s="103"/>
      <c r="D2" s="103"/>
      <c r="E2" s="103"/>
      <c r="F2" s="103"/>
      <c r="G2" s="103"/>
      <c r="H2" s="103"/>
      <c r="I2" s="103"/>
      <c r="J2" s="103"/>
      <c r="K2" s="103"/>
      <c r="L2" s="103"/>
      <c r="M2" s="103"/>
      <c r="N2" s="103"/>
      <c r="O2" s="103"/>
      <c r="P2" s="103"/>
      <c r="Q2" s="103"/>
      <c r="R2" s="103"/>
      <c r="S2" s="103"/>
      <c r="T2" s="103"/>
    </row>
    <row r="3" spans="2:20" ht="21" customHeight="1" x14ac:dyDescent="0.3">
      <c r="B3" s="5" t="s">
        <v>35</v>
      </c>
      <c r="C3" s="104" t="s">
        <v>357</v>
      </c>
      <c r="D3" s="105"/>
      <c r="E3" s="105"/>
      <c r="F3" s="105"/>
      <c r="G3" s="105"/>
      <c r="H3" s="105"/>
      <c r="I3" s="105"/>
      <c r="J3" s="105"/>
      <c r="K3" s="4"/>
      <c r="L3" s="4"/>
      <c r="M3" s="4"/>
      <c r="N3" s="4"/>
      <c r="O3" s="4"/>
      <c r="P3" s="4"/>
      <c r="Q3" s="4"/>
      <c r="R3" s="4"/>
      <c r="S3" s="4"/>
      <c r="T3" s="4"/>
    </row>
    <row r="4" spans="2:20" ht="15" thickBot="1" x14ac:dyDescent="0.35">
      <c r="B4" s="4"/>
      <c r="C4" s="4"/>
      <c r="D4" s="4"/>
      <c r="E4" s="4"/>
      <c r="F4" s="4"/>
      <c r="G4" s="4"/>
      <c r="H4" s="4"/>
      <c r="I4" s="4"/>
      <c r="J4" s="4"/>
      <c r="K4" s="4"/>
      <c r="L4" s="4"/>
      <c r="M4" s="4"/>
      <c r="N4" s="4"/>
      <c r="O4" s="4"/>
      <c r="P4" s="4"/>
      <c r="Q4" s="4"/>
      <c r="R4" s="4"/>
      <c r="S4" s="4"/>
      <c r="T4" s="4"/>
    </row>
    <row r="5" spans="2:20" ht="54.6" thickBot="1" x14ac:dyDescent="0.35">
      <c r="B5" s="40" t="s">
        <v>36</v>
      </c>
      <c r="C5" s="97" t="s">
        <v>21</v>
      </c>
      <c r="D5" s="98"/>
      <c r="E5" s="98"/>
      <c r="F5" s="42" t="s">
        <v>37</v>
      </c>
      <c r="G5" s="41" t="s">
        <v>38</v>
      </c>
      <c r="H5" s="42" t="s">
        <v>3</v>
      </c>
      <c r="I5" s="42" t="s">
        <v>39</v>
      </c>
      <c r="J5" s="42" t="s">
        <v>40</v>
      </c>
      <c r="K5" s="42" t="s">
        <v>41</v>
      </c>
      <c r="L5" s="42" t="s">
        <v>42</v>
      </c>
      <c r="M5" s="42" t="s">
        <v>43</v>
      </c>
      <c r="N5" s="42" t="s">
        <v>44</v>
      </c>
      <c r="O5" s="42" t="s">
        <v>45</v>
      </c>
      <c r="P5" s="42" t="s">
        <v>46</v>
      </c>
      <c r="Q5" s="42" t="s">
        <v>47</v>
      </c>
      <c r="R5" s="42" t="s">
        <v>48</v>
      </c>
      <c r="S5" s="42" t="s">
        <v>49</v>
      </c>
      <c r="T5" s="42" t="s">
        <v>50</v>
      </c>
    </row>
    <row r="6" spans="2:20" ht="21" x14ac:dyDescent="0.3">
      <c r="B6" s="51" t="s">
        <v>192</v>
      </c>
      <c r="C6" s="88"/>
      <c r="D6" s="88"/>
      <c r="E6" s="88"/>
      <c r="F6" s="88">
        <f>SUM(F7:F34)</f>
        <v>27</v>
      </c>
      <c r="G6" s="88"/>
      <c r="H6" s="88"/>
      <c r="I6" s="35"/>
      <c r="J6" s="35"/>
      <c r="K6" s="35"/>
      <c r="L6" s="35"/>
      <c r="M6" s="35"/>
      <c r="N6" s="35"/>
      <c r="O6" s="35"/>
      <c r="P6" s="35"/>
      <c r="Q6" s="35"/>
      <c r="R6" s="35"/>
      <c r="S6" s="35"/>
      <c r="T6" s="37"/>
    </row>
    <row r="7" spans="2:20" ht="30" x14ac:dyDescent="0.3">
      <c r="B7" s="93" t="s">
        <v>160</v>
      </c>
      <c r="C7" s="7" t="s">
        <v>443</v>
      </c>
      <c r="D7" s="7"/>
      <c r="E7" s="7"/>
      <c r="F7" s="7">
        <v>1</v>
      </c>
      <c r="G7" s="26" t="s">
        <v>116</v>
      </c>
      <c r="H7" s="85" t="s">
        <v>84</v>
      </c>
      <c r="I7" s="7">
        <v>1</v>
      </c>
      <c r="J7" s="7"/>
      <c r="K7" s="7"/>
      <c r="L7" s="7"/>
      <c r="M7" s="7"/>
      <c r="N7" s="7"/>
      <c r="O7" s="7"/>
      <c r="P7" s="7"/>
      <c r="Q7" s="7"/>
      <c r="R7" s="7"/>
      <c r="S7" s="7"/>
      <c r="T7" s="7"/>
    </row>
    <row r="8" spans="2:20" ht="15" x14ac:dyDescent="0.3">
      <c r="B8" s="101"/>
      <c r="C8" s="93" t="s">
        <v>442</v>
      </c>
      <c r="D8" s="7" t="s">
        <v>441</v>
      </c>
      <c r="E8" s="7"/>
      <c r="F8" s="7">
        <v>1</v>
      </c>
      <c r="G8" s="26" t="s">
        <v>116</v>
      </c>
      <c r="H8" s="85" t="s">
        <v>84</v>
      </c>
      <c r="I8" s="7">
        <v>1</v>
      </c>
      <c r="J8" s="7"/>
      <c r="K8" s="7"/>
      <c r="L8" s="7"/>
      <c r="M8" s="7"/>
      <c r="N8" s="7"/>
      <c r="O8" s="7"/>
      <c r="P8" s="7"/>
      <c r="Q8" s="7"/>
      <c r="R8" s="7"/>
      <c r="S8" s="7"/>
      <c r="T8" s="7"/>
    </row>
    <row r="9" spans="2:20" ht="15" x14ac:dyDescent="0.3">
      <c r="B9" s="101"/>
      <c r="C9" s="101"/>
      <c r="D9" s="7" t="s">
        <v>427</v>
      </c>
      <c r="E9" s="7"/>
      <c r="F9" s="7">
        <v>1</v>
      </c>
      <c r="G9" s="26" t="s">
        <v>116</v>
      </c>
      <c r="H9" s="85" t="s">
        <v>84</v>
      </c>
      <c r="I9" s="7">
        <v>1</v>
      </c>
      <c r="J9" s="7"/>
      <c r="K9" s="7"/>
      <c r="L9" s="7"/>
      <c r="M9" s="7"/>
      <c r="N9" s="7"/>
      <c r="O9" s="7"/>
      <c r="P9" s="7"/>
      <c r="Q9" s="7"/>
      <c r="R9" s="7"/>
      <c r="S9" s="7"/>
      <c r="T9" s="7"/>
    </row>
    <row r="10" spans="2:20" ht="15" x14ac:dyDescent="0.3">
      <c r="B10" s="101"/>
      <c r="C10" s="101"/>
      <c r="D10" s="7" t="s">
        <v>181</v>
      </c>
      <c r="E10" s="7"/>
      <c r="F10" s="7">
        <v>1</v>
      </c>
      <c r="G10" s="26" t="s">
        <v>116</v>
      </c>
      <c r="H10" s="85" t="s">
        <v>84</v>
      </c>
      <c r="I10" s="7">
        <v>1</v>
      </c>
      <c r="J10" s="7"/>
      <c r="K10" s="7"/>
      <c r="L10" s="7"/>
      <c r="M10" s="7"/>
      <c r="N10" s="7"/>
      <c r="O10" s="7"/>
      <c r="P10" s="7"/>
      <c r="Q10" s="7"/>
      <c r="R10" s="7"/>
      <c r="S10" s="7"/>
      <c r="T10" s="7"/>
    </row>
    <row r="11" spans="2:20" ht="15" x14ac:dyDescent="0.3">
      <c r="B11" s="101"/>
      <c r="C11" s="101"/>
      <c r="D11" s="7" t="s">
        <v>182</v>
      </c>
      <c r="E11" s="7"/>
      <c r="F11" s="7">
        <v>1</v>
      </c>
      <c r="G11" s="26" t="s">
        <v>116</v>
      </c>
      <c r="H11" s="85" t="s">
        <v>84</v>
      </c>
      <c r="I11" s="7">
        <v>1</v>
      </c>
      <c r="J11" s="7"/>
      <c r="K11" s="7"/>
      <c r="L11" s="7"/>
      <c r="M11" s="7"/>
      <c r="N11" s="7"/>
      <c r="O11" s="7"/>
      <c r="P11" s="7"/>
      <c r="Q11" s="7"/>
      <c r="R11" s="7"/>
      <c r="S11" s="7"/>
      <c r="T11" s="7"/>
    </row>
    <row r="12" spans="2:20" ht="45" x14ac:dyDescent="0.3">
      <c r="B12" s="101"/>
      <c r="C12" s="102"/>
      <c r="D12" s="7" t="s">
        <v>440</v>
      </c>
      <c r="E12" s="7"/>
      <c r="F12" s="7">
        <v>1</v>
      </c>
      <c r="G12" s="26" t="s">
        <v>116</v>
      </c>
      <c r="H12" s="85" t="s">
        <v>84</v>
      </c>
      <c r="I12" s="7">
        <v>1</v>
      </c>
      <c r="J12" s="7"/>
      <c r="K12" s="7"/>
      <c r="L12" s="7"/>
      <c r="M12" s="7"/>
      <c r="N12" s="7"/>
      <c r="O12" s="7"/>
      <c r="P12" s="7"/>
      <c r="Q12" s="7"/>
      <c r="R12" s="7"/>
      <c r="S12" s="7"/>
      <c r="T12" s="7"/>
    </row>
    <row r="13" spans="2:20" ht="15" x14ac:dyDescent="0.3">
      <c r="B13" s="101"/>
      <c r="C13" s="93" t="s">
        <v>439</v>
      </c>
      <c r="D13" s="93" t="s">
        <v>438</v>
      </c>
      <c r="E13" s="7" t="s">
        <v>433</v>
      </c>
      <c r="F13" s="7">
        <v>1</v>
      </c>
      <c r="G13" s="26" t="s">
        <v>116</v>
      </c>
      <c r="H13" s="85" t="s">
        <v>84</v>
      </c>
      <c r="I13" s="7">
        <v>1</v>
      </c>
      <c r="J13" s="7"/>
      <c r="K13" s="7"/>
      <c r="L13" s="7"/>
      <c r="M13" s="7"/>
      <c r="N13" s="7"/>
      <c r="O13" s="7"/>
      <c r="P13" s="7"/>
      <c r="Q13" s="7"/>
      <c r="R13" s="7"/>
      <c r="S13" s="7"/>
      <c r="T13" s="7"/>
    </row>
    <row r="14" spans="2:20" ht="30" x14ac:dyDescent="0.3">
      <c r="B14" s="101"/>
      <c r="C14" s="101"/>
      <c r="D14" s="101"/>
      <c r="E14" s="7" t="s">
        <v>432</v>
      </c>
      <c r="F14" s="7">
        <v>1</v>
      </c>
      <c r="G14" s="26" t="s">
        <v>116</v>
      </c>
      <c r="H14" s="85" t="s">
        <v>84</v>
      </c>
      <c r="I14" s="7">
        <v>1</v>
      </c>
      <c r="J14" s="7"/>
      <c r="K14" s="7"/>
      <c r="L14" s="7"/>
      <c r="M14" s="7"/>
      <c r="N14" s="7"/>
      <c r="O14" s="7"/>
      <c r="P14" s="7"/>
      <c r="Q14" s="7"/>
      <c r="R14" s="7"/>
      <c r="S14" s="7"/>
      <c r="T14" s="7"/>
    </row>
    <row r="15" spans="2:20" ht="30" x14ac:dyDescent="0.3">
      <c r="B15" s="101"/>
      <c r="C15" s="101"/>
      <c r="D15" s="101"/>
      <c r="E15" s="7" t="s">
        <v>431</v>
      </c>
      <c r="F15" s="7">
        <v>1</v>
      </c>
      <c r="G15" s="26" t="s">
        <v>116</v>
      </c>
      <c r="H15" s="85" t="s">
        <v>84</v>
      </c>
      <c r="I15" s="7">
        <v>1</v>
      </c>
      <c r="J15" s="7"/>
      <c r="K15" s="7"/>
      <c r="L15" s="7"/>
      <c r="M15" s="7"/>
      <c r="N15" s="7"/>
      <c r="O15" s="7"/>
      <c r="P15" s="7"/>
      <c r="Q15" s="7"/>
      <c r="R15" s="7"/>
      <c r="S15" s="7"/>
      <c r="T15" s="7"/>
    </row>
    <row r="16" spans="2:20" ht="30" x14ac:dyDescent="0.3">
      <c r="B16" s="101"/>
      <c r="C16" s="101"/>
      <c r="D16" s="101"/>
      <c r="E16" s="7" t="s">
        <v>436</v>
      </c>
      <c r="F16" s="7">
        <v>1</v>
      </c>
      <c r="G16" s="26" t="s">
        <v>116</v>
      </c>
      <c r="H16" s="85" t="s">
        <v>84</v>
      </c>
      <c r="I16" s="7">
        <v>1</v>
      </c>
      <c r="J16" s="7"/>
      <c r="K16" s="7"/>
      <c r="L16" s="7"/>
      <c r="M16" s="7"/>
      <c r="N16" s="7"/>
      <c r="O16" s="7"/>
      <c r="P16" s="7"/>
      <c r="Q16" s="7"/>
      <c r="R16" s="7"/>
      <c r="S16" s="7"/>
      <c r="T16" s="7"/>
    </row>
    <row r="17" spans="2:20" ht="30" x14ac:dyDescent="0.3">
      <c r="B17" s="101"/>
      <c r="C17" s="101"/>
      <c r="D17" s="102"/>
      <c r="E17" s="7" t="s">
        <v>435</v>
      </c>
      <c r="F17" s="7">
        <v>1</v>
      </c>
      <c r="G17" s="26" t="s">
        <v>116</v>
      </c>
      <c r="H17" s="85" t="s">
        <v>84</v>
      </c>
      <c r="I17" s="7">
        <v>1</v>
      </c>
      <c r="J17" s="7"/>
      <c r="K17" s="7"/>
      <c r="L17" s="7"/>
      <c r="M17" s="7"/>
      <c r="N17" s="7"/>
      <c r="O17" s="7"/>
      <c r="P17" s="7"/>
      <c r="Q17" s="7"/>
      <c r="R17" s="7"/>
      <c r="S17" s="7"/>
      <c r="T17" s="7"/>
    </row>
    <row r="18" spans="2:20" ht="15" x14ac:dyDescent="0.3">
      <c r="B18" s="101"/>
      <c r="C18" s="101"/>
      <c r="D18" s="93" t="s">
        <v>437</v>
      </c>
      <c r="E18" s="7" t="s">
        <v>433</v>
      </c>
      <c r="F18" s="7">
        <v>1</v>
      </c>
      <c r="G18" s="26" t="s">
        <v>116</v>
      </c>
      <c r="H18" s="85" t="s">
        <v>84</v>
      </c>
      <c r="I18" s="7">
        <v>1</v>
      </c>
      <c r="J18" s="7"/>
      <c r="K18" s="7"/>
      <c r="L18" s="7"/>
      <c r="M18" s="7"/>
      <c r="N18" s="7"/>
      <c r="O18" s="7"/>
      <c r="P18" s="7"/>
      <c r="Q18" s="7"/>
      <c r="R18" s="7"/>
      <c r="S18" s="7"/>
      <c r="T18" s="7"/>
    </row>
    <row r="19" spans="2:20" ht="30" x14ac:dyDescent="0.3">
      <c r="B19" s="101"/>
      <c r="C19" s="101"/>
      <c r="D19" s="101"/>
      <c r="E19" s="7" t="s">
        <v>432</v>
      </c>
      <c r="F19" s="7">
        <v>1</v>
      </c>
      <c r="G19" s="26" t="s">
        <v>116</v>
      </c>
      <c r="H19" s="85" t="s">
        <v>84</v>
      </c>
      <c r="I19" s="7">
        <v>1</v>
      </c>
      <c r="J19" s="7"/>
      <c r="K19" s="7"/>
      <c r="L19" s="7"/>
      <c r="M19" s="7"/>
      <c r="N19" s="7"/>
      <c r="O19" s="7"/>
      <c r="P19" s="7"/>
      <c r="Q19" s="7"/>
      <c r="R19" s="7"/>
      <c r="S19" s="7"/>
      <c r="T19" s="7"/>
    </row>
    <row r="20" spans="2:20" ht="30" x14ac:dyDescent="0.3">
      <c r="B20" s="101"/>
      <c r="C20" s="101"/>
      <c r="D20" s="101"/>
      <c r="E20" s="7" t="s">
        <v>431</v>
      </c>
      <c r="F20" s="7">
        <v>1</v>
      </c>
      <c r="G20" s="26" t="s">
        <v>116</v>
      </c>
      <c r="H20" s="85" t="s">
        <v>84</v>
      </c>
      <c r="I20" s="7">
        <v>1</v>
      </c>
      <c r="J20" s="7"/>
      <c r="K20" s="7"/>
      <c r="L20" s="7"/>
      <c r="M20" s="7"/>
      <c r="N20" s="7"/>
      <c r="O20" s="7"/>
      <c r="P20" s="7"/>
      <c r="Q20" s="7"/>
      <c r="R20" s="7"/>
      <c r="S20" s="7"/>
      <c r="T20" s="7"/>
    </row>
    <row r="21" spans="2:20" ht="30" x14ac:dyDescent="0.3">
      <c r="B21" s="101"/>
      <c r="C21" s="101"/>
      <c r="D21" s="101"/>
      <c r="E21" s="7" t="s">
        <v>436</v>
      </c>
      <c r="F21" s="7">
        <v>1</v>
      </c>
      <c r="G21" s="26" t="s">
        <v>116</v>
      </c>
      <c r="H21" s="85" t="s">
        <v>84</v>
      </c>
      <c r="I21" s="7">
        <v>1</v>
      </c>
      <c r="J21" s="7"/>
      <c r="K21" s="7"/>
      <c r="L21" s="7"/>
      <c r="M21" s="7"/>
      <c r="N21" s="7"/>
      <c r="O21" s="7"/>
      <c r="P21" s="7"/>
      <c r="Q21" s="7"/>
      <c r="R21" s="7"/>
      <c r="S21" s="7"/>
      <c r="T21" s="7"/>
    </row>
    <row r="22" spans="2:20" ht="30" x14ac:dyDescent="0.3">
      <c r="B22" s="101"/>
      <c r="C22" s="101"/>
      <c r="D22" s="102"/>
      <c r="E22" s="7" t="s">
        <v>435</v>
      </c>
      <c r="F22" s="7">
        <v>1</v>
      </c>
      <c r="G22" s="26" t="s">
        <v>116</v>
      </c>
      <c r="H22" s="85" t="s">
        <v>84</v>
      </c>
      <c r="I22" s="7">
        <v>1</v>
      </c>
      <c r="J22" s="7"/>
      <c r="K22" s="7"/>
      <c r="L22" s="7"/>
      <c r="M22" s="7"/>
      <c r="N22" s="7"/>
      <c r="O22" s="7"/>
      <c r="P22" s="7"/>
      <c r="Q22" s="7"/>
      <c r="R22" s="7"/>
      <c r="S22" s="7"/>
      <c r="T22" s="7"/>
    </row>
    <row r="23" spans="2:20" ht="15" x14ac:dyDescent="0.3">
      <c r="B23" s="101"/>
      <c r="C23" s="101"/>
      <c r="D23" s="93" t="s">
        <v>434</v>
      </c>
      <c r="E23" s="7" t="s">
        <v>433</v>
      </c>
      <c r="F23" s="7">
        <v>1</v>
      </c>
      <c r="G23" s="26" t="s">
        <v>116</v>
      </c>
      <c r="H23" s="85" t="s">
        <v>84</v>
      </c>
      <c r="I23" s="7">
        <v>1</v>
      </c>
      <c r="J23" s="7"/>
      <c r="K23" s="7"/>
      <c r="L23" s="7"/>
      <c r="M23" s="7"/>
      <c r="N23" s="7"/>
      <c r="O23" s="7"/>
      <c r="P23" s="7"/>
      <c r="Q23" s="7"/>
      <c r="R23" s="7"/>
      <c r="S23" s="7"/>
      <c r="T23" s="7"/>
    </row>
    <row r="24" spans="2:20" ht="30" x14ac:dyDescent="0.3">
      <c r="B24" s="101"/>
      <c r="C24" s="101"/>
      <c r="D24" s="101"/>
      <c r="E24" s="7" t="s">
        <v>432</v>
      </c>
      <c r="F24" s="7">
        <v>1</v>
      </c>
      <c r="G24" s="26" t="s">
        <v>116</v>
      </c>
      <c r="H24" s="85" t="s">
        <v>84</v>
      </c>
      <c r="I24" s="7">
        <v>1</v>
      </c>
      <c r="J24" s="7"/>
      <c r="K24" s="7"/>
      <c r="L24" s="7"/>
      <c r="M24" s="7"/>
      <c r="N24" s="7"/>
      <c r="O24" s="7"/>
      <c r="P24" s="7"/>
      <c r="Q24" s="7"/>
      <c r="R24" s="7"/>
      <c r="S24" s="7"/>
      <c r="T24" s="7"/>
    </row>
    <row r="25" spans="2:20" ht="30" x14ac:dyDescent="0.3">
      <c r="B25" s="101"/>
      <c r="C25" s="101"/>
      <c r="D25" s="101"/>
      <c r="E25" s="7" t="s">
        <v>431</v>
      </c>
      <c r="F25" s="7">
        <v>1</v>
      </c>
      <c r="G25" s="26" t="s">
        <v>116</v>
      </c>
      <c r="H25" s="85" t="s">
        <v>84</v>
      </c>
      <c r="I25" s="7">
        <v>1</v>
      </c>
      <c r="J25" s="7"/>
      <c r="K25" s="7"/>
      <c r="L25" s="7"/>
      <c r="M25" s="7"/>
      <c r="N25" s="7"/>
      <c r="O25" s="7"/>
      <c r="P25" s="7"/>
      <c r="Q25" s="7"/>
      <c r="R25" s="7"/>
      <c r="S25" s="7"/>
      <c r="T25" s="7"/>
    </row>
    <row r="26" spans="2:20" ht="15" x14ac:dyDescent="0.3">
      <c r="B26" s="101"/>
      <c r="C26" s="101"/>
      <c r="D26" s="102"/>
      <c r="E26" s="7" t="s">
        <v>430</v>
      </c>
      <c r="F26" s="7">
        <v>1</v>
      </c>
      <c r="G26" s="26" t="s">
        <v>116</v>
      </c>
      <c r="H26" s="85" t="s">
        <v>84</v>
      </c>
      <c r="I26" s="7">
        <v>1</v>
      </c>
      <c r="J26" s="7"/>
      <c r="K26" s="7"/>
      <c r="L26" s="7"/>
      <c r="M26" s="7"/>
      <c r="N26" s="7"/>
      <c r="O26" s="7"/>
      <c r="P26" s="7"/>
      <c r="Q26" s="7"/>
      <c r="R26" s="7"/>
      <c r="S26" s="7"/>
      <c r="T26" s="7"/>
    </row>
    <row r="27" spans="2:20" ht="15" x14ac:dyDescent="0.3">
      <c r="B27" s="101"/>
      <c r="C27" s="101"/>
      <c r="D27" s="93" t="s">
        <v>429</v>
      </c>
      <c r="E27" s="7" t="s">
        <v>428</v>
      </c>
      <c r="F27" s="7">
        <v>1</v>
      </c>
      <c r="G27" s="26" t="s">
        <v>116</v>
      </c>
      <c r="H27" s="85" t="s">
        <v>84</v>
      </c>
      <c r="I27" s="7">
        <v>1</v>
      </c>
      <c r="J27" s="7"/>
      <c r="K27" s="7"/>
      <c r="L27" s="7"/>
      <c r="M27" s="7"/>
      <c r="N27" s="7"/>
      <c r="O27" s="7"/>
      <c r="P27" s="7"/>
      <c r="Q27" s="7"/>
      <c r="R27" s="7"/>
      <c r="S27" s="7"/>
      <c r="T27" s="7"/>
    </row>
    <row r="28" spans="2:20" ht="15" x14ac:dyDescent="0.3">
      <c r="B28" s="101"/>
      <c r="C28" s="101"/>
      <c r="D28" s="101"/>
      <c r="E28" s="7" t="s">
        <v>427</v>
      </c>
      <c r="F28" s="7">
        <v>1</v>
      </c>
      <c r="G28" s="26" t="s">
        <v>116</v>
      </c>
      <c r="H28" s="85" t="s">
        <v>84</v>
      </c>
      <c r="I28" s="7">
        <v>1</v>
      </c>
      <c r="J28" s="7"/>
      <c r="K28" s="7"/>
      <c r="L28" s="7"/>
      <c r="M28" s="7"/>
      <c r="N28" s="7"/>
      <c r="O28" s="7"/>
      <c r="P28" s="7"/>
      <c r="Q28" s="7"/>
      <c r="R28" s="7"/>
      <c r="S28" s="7"/>
      <c r="T28" s="7"/>
    </row>
    <row r="29" spans="2:20" ht="15" x14ac:dyDescent="0.3">
      <c r="B29" s="101"/>
      <c r="C29" s="101"/>
      <c r="D29" s="101"/>
      <c r="E29" s="7" t="s">
        <v>426</v>
      </c>
      <c r="F29" s="7">
        <v>1</v>
      </c>
      <c r="G29" s="26" t="s">
        <v>116</v>
      </c>
      <c r="H29" s="85" t="s">
        <v>84</v>
      </c>
      <c r="I29" s="7">
        <v>1</v>
      </c>
      <c r="J29" s="7"/>
      <c r="K29" s="7"/>
      <c r="L29" s="7"/>
      <c r="M29" s="7"/>
      <c r="N29" s="7"/>
      <c r="O29" s="7"/>
      <c r="P29" s="7"/>
      <c r="Q29" s="7"/>
      <c r="R29" s="7"/>
      <c r="S29" s="7"/>
      <c r="T29" s="7"/>
    </row>
    <row r="30" spans="2:20" ht="30" x14ac:dyDescent="0.3">
      <c r="B30" s="101"/>
      <c r="C30" s="101"/>
      <c r="D30" s="101"/>
      <c r="E30" s="7" t="s">
        <v>425</v>
      </c>
      <c r="F30" s="7">
        <v>1</v>
      </c>
      <c r="G30" s="26" t="s">
        <v>116</v>
      </c>
      <c r="H30" s="85" t="s">
        <v>84</v>
      </c>
      <c r="I30" s="7">
        <v>1</v>
      </c>
      <c r="J30" s="7"/>
      <c r="K30" s="7"/>
      <c r="L30" s="7"/>
      <c r="M30" s="7"/>
      <c r="N30" s="7"/>
      <c r="O30" s="7"/>
      <c r="P30" s="7"/>
      <c r="Q30" s="7"/>
      <c r="R30" s="7"/>
      <c r="S30" s="7"/>
      <c r="T30" s="7"/>
    </row>
    <row r="31" spans="2:20" ht="45" x14ac:dyDescent="0.3">
      <c r="B31" s="102"/>
      <c r="C31" s="102"/>
      <c r="D31" s="102"/>
      <c r="E31" s="7" t="s">
        <v>424</v>
      </c>
      <c r="F31" s="7">
        <v>1</v>
      </c>
      <c r="G31" s="26" t="s">
        <v>116</v>
      </c>
      <c r="H31" s="85" t="s">
        <v>84</v>
      </c>
      <c r="I31" s="7">
        <v>1</v>
      </c>
      <c r="J31" s="7"/>
      <c r="K31" s="7"/>
      <c r="L31" s="7"/>
      <c r="M31" s="7"/>
      <c r="N31" s="7"/>
      <c r="O31" s="7"/>
      <c r="P31" s="7"/>
      <c r="Q31" s="7"/>
      <c r="R31" s="7"/>
      <c r="S31" s="7"/>
      <c r="T31" s="7"/>
    </row>
    <row r="32" spans="2:20" ht="15.6" thickBot="1" x14ac:dyDescent="0.35">
      <c r="B32" s="27"/>
      <c r="C32" s="68"/>
      <c r="D32" s="28"/>
      <c r="E32" s="28"/>
      <c r="F32" s="28"/>
      <c r="G32" s="28"/>
      <c r="H32" s="28"/>
      <c r="I32" s="28"/>
      <c r="J32" s="28"/>
      <c r="K32" s="28"/>
      <c r="L32" s="28"/>
      <c r="M32" s="28"/>
      <c r="N32" s="28"/>
      <c r="O32" s="28"/>
      <c r="P32" s="28"/>
      <c r="Q32" s="28"/>
      <c r="R32" s="28"/>
      <c r="S32" s="28"/>
      <c r="T32" s="28"/>
    </row>
    <row r="33" spans="2:20" ht="30" x14ac:dyDescent="0.3">
      <c r="B33" s="92" t="s">
        <v>167</v>
      </c>
      <c r="C33" s="7" t="s">
        <v>423</v>
      </c>
      <c r="D33" s="7"/>
      <c r="E33" s="7"/>
      <c r="F33" s="7">
        <v>1</v>
      </c>
      <c r="G33" s="26" t="s">
        <v>116</v>
      </c>
      <c r="H33" s="85" t="s">
        <v>84</v>
      </c>
      <c r="I33" s="7">
        <v>5</v>
      </c>
      <c r="J33" s="7"/>
      <c r="K33" s="7"/>
      <c r="L33" s="7"/>
      <c r="M33" s="7"/>
      <c r="N33" s="7"/>
      <c r="O33" s="7"/>
      <c r="P33" s="7"/>
      <c r="Q33" s="7"/>
      <c r="R33" s="7"/>
      <c r="S33" s="7"/>
      <c r="T33" s="7"/>
    </row>
    <row r="34" spans="2:20" ht="30" x14ac:dyDescent="0.3">
      <c r="B34" s="92"/>
      <c r="C34" s="7" t="s">
        <v>422</v>
      </c>
      <c r="D34" s="7"/>
      <c r="E34" s="7"/>
      <c r="F34" s="7">
        <v>1</v>
      </c>
      <c r="G34" s="26" t="s">
        <v>116</v>
      </c>
      <c r="H34" s="85" t="s">
        <v>84</v>
      </c>
      <c r="I34" s="7">
        <v>5</v>
      </c>
      <c r="J34" s="7"/>
      <c r="K34" s="7"/>
      <c r="L34" s="7"/>
      <c r="M34" s="7"/>
      <c r="N34" s="7"/>
      <c r="O34" s="7"/>
      <c r="P34" s="7"/>
      <c r="Q34" s="7"/>
      <c r="R34" s="7"/>
      <c r="S34" s="7"/>
      <c r="T34" s="7"/>
    </row>
    <row r="36" spans="2:20" ht="15" thickBot="1" x14ac:dyDescent="0.35"/>
    <row r="37" spans="2:20" ht="16.2" thickBot="1" x14ac:dyDescent="0.35">
      <c r="C37" s="3" t="s">
        <v>55</v>
      </c>
      <c r="D37" s="3"/>
      <c r="E37" s="11"/>
      <c r="F37" s="12">
        <f>SUM(F6)</f>
        <v>27</v>
      </c>
      <c r="G37" s="4"/>
      <c r="H37" s="62" t="s">
        <v>293</v>
      </c>
      <c r="I37" s="63">
        <f>SUM(I7:I34)</f>
        <v>35</v>
      </c>
    </row>
    <row r="38" spans="2:20" ht="16.2" thickBot="1" x14ac:dyDescent="0.35">
      <c r="C38" s="4"/>
      <c r="D38" s="4"/>
      <c r="E38" s="4"/>
      <c r="F38" s="4"/>
      <c r="G38" s="4"/>
      <c r="H38" s="64" t="s">
        <v>294</v>
      </c>
      <c r="I38" s="65">
        <f>I37/8</f>
        <v>4.375</v>
      </c>
    </row>
  </sheetData>
  <mergeCells count="11">
    <mergeCell ref="B2:T2"/>
    <mergeCell ref="C3:J3"/>
    <mergeCell ref="C5:E5"/>
    <mergeCell ref="D27:D31"/>
    <mergeCell ref="C8:C12"/>
    <mergeCell ref="D23:D26"/>
    <mergeCell ref="C13:C31"/>
    <mergeCell ref="B7:B31"/>
    <mergeCell ref="D13:D17"/>
    <mergeCell ref="D18:D22"/>
    <mergeCell ref="B33:B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Backlog</vt:lpstr>
      <vt:lpstr>Calendarización</vt:lpstr>
      <vt:lpstr>Sprint #1</vt:lpstr>
      <vt:lpstr>Sprint #2</vt:lpstr>
      <vt:lpstr>Sprint #3</vt:lpstr>
      <vt:lpstr>Sprint #4</vt:lpstr>
      <vt:lpstr>Sprint #5</vt:lpstr>
      <vt:lpstr>Sprint #6</vt:lpstr>
      <vt:lpstr>Sprint #7</vt:lpstr>
      <vt:lpstr>Sprint #8</vt:lpstr>
      <vt:lpstr>Sprint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Alvarez</dc:creator>
  <cp:lastModifiedBy>Diana Alvarez</cp:lastModifiedBy>
  <dcterms:created xsi:type="dcterms:W3CDTF">2025-09-23T02:37:15Z</dcterms:created>
  <dcterms:modified xsi:type="dcterms:W3CDTF">2025-11-30T03:38:34Z</dcterms:modified>
</cp:coreProperties>
</file>