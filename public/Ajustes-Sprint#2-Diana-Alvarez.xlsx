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1a0cbcaa1578ba6d/Documentos/Proyecto-II/Menu/Proyecto-Final/public/"/>
    </mc:Choice>
  </mc:AlternateContent>
  <xr:revisionPtr revIDLastSave="0" documentId="8_{50933B1D-95DA-4750-BACD-FCE6A31E74E1}" xr6:coauthVersionLast="47" xr6:coauthVersionMax="47" xr10:uidLastSave="{00000000-0000-0000-0000-000000000000}"/>
  <bookViews>
    <workbookView xWindow="-108" yWindow="-108" windowWidth="23256" windowHeight="12456" activeTab="3" xr2:uid="{00000000-000D-0000-FFFF-FFFF00000000}"/>
  </bookViews>
  <sheets>
    <sheet name="Daily Meeting " sheetId="3" r:id="rId1"/>
    <sheet name="Backlog" sheetId="2" r:id="rId2"/>
    <sheet name="Calendarización" sheetId="4" r:id="rId3"/>
    <sheet name="Sprint #2"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4" l="1"/>
  <c r="G9" i="4"/>
  <c r="H8" i="4"/>
  <c r="H37" i="1"/>
  <c r="U37" i="1"/>
  <c r="V37" i="1"/>
  <c r="J37" i="1"/>
  <c r="K37" i="1"/>
  <c r="L37" i="1"/>
  <c r="M37" i="1"/>
  <c r="N37" i="1"/>
  <c r="O37" i="1"/>
  <c r="P37" i="1"/>
  <c r="Q37" i="1"/>
  <c r="R37" i="1"/>
  <c r="S37" i="1"/>
  <c r="T37" i="1"/>
  <c r="X37" i="1"/>
  <c r="I37" i="1"/>
  <c r="E37" i="1"/>
  <c r="G10" i="4"/>
  <c r="H10" i="4" s="1"/>
  <c r="G11" i="4" s="1"/>
  <c r="H11" i="4" s="1"/>
  <c r="G12" i="4" s="1"/>
  <c r="H12" i="4" s="1"/>
  <c r="G13" i="4" s="1"/>
  <c r="H13" i="4" s="1"/>
  <c r="G14" i="4" s="1"/>
  <c r="H14" i="4" s="1"/>
  <c r="G15" i="4" s="1"/>
  <c r="H15" i="4" s="1"/>
  <c r="G16" i="4" s="1"/>
  <c r="H16" i="4" s="1"/>
  <c r="H7" i="4"/>
</calcChain>
</file>

<file path=xl/sharedStrings.xml><?xml version="1.0" encoding="utf-8"?>
<sst xmlns="http://schemas.openxmlformats.org/spreadsheetml/2006/main" count="271" uniqueCount="195">
  <si>
    <t>Objetivo</t>
  </si>
  <si>
    <t>Sábado</t>
  </si>
  <si>
    <t>Domingo</t>
  </si>
  <si>
    <t>Lunes</t>
  </si>
  <si>
    <t>Martes</t>
  </si>
  <si>
    <t>Miércoles</t>
  </si>
  <si>
    <t>Jueves</t>
  </si>
  <si>
    <t>Viernes</t>
  </si>
  <si>
    <t>Elemento de trabajo pendiente</t>
  </si>
  <si>
    <t>Tareas</t>
  </si>
  <si>
    <t>Puntos de historia</t>
  </si>
  <si>
    <t>Responsable</t>
  </si>
  <si>
    <t>Estado</t>
  </si>
  <si>
    <t>Día 1</t>
  </si>
  <si>
    <t>Día 2</t>
  </si>
  <si>
    <t>Día 3</t>
  </si>
  <si>
    <t>Día 4</t>
  </si>
  <si>
    <t>Día 5</t>
  </si>
  <si>
    <t>Día 6</t>
  </si>
  <si>
    <t>Día 7</t>
  </si>
  <si>
    <t>Día 8</t>
  </si>
  <si>
    <t>Día 9</t>
  </si>
  <si>
    <t>Día 10</t>
  </si>
  <si>
    <t>Día 11</t>
  </si>
  <si>
    <t>Día 12</t>
  </si>
  <si>
    <t>Día 13</t>
  </si>
  <si>
    <t>Día 14</t>
  </si>
  <si>
    <t>Día 15</t>
  </si>
  <si>
    <t>Revisión del Sprint</t>
  </si>
  <si>
    <t>HU02</t>
  </si>
  <si>
    <t>Registro de usuario</t>
  </si>
  <si>
    <t>Diana Alvarez</t>
  </si>
  <si>
    <t>Link de conexión entre pagina principal y pagina de registro</t>
  </si>
  <si>
    <t>Crear pagina de registro</t>
  </si>
  <si>
    <t>Crear componente router para conectar las paginas</t>
  </si>
  <si>
    <t xml:space="preserve">Añadir el link al botón </t>
  </si>
  <si>
    <t xml:space="preserve">Agregar mensaje de error si no se encuentra la pagina </t>
  </si>
  <si>
    <t>Añadir titulo de registro a la pagina</t>
  </si>
  <si>
    <t xml:space="preserve">Crear componente para campos de registro </t>
  </si>
  <si>
    <t>Campo de usuario</t>
  </si>
  <si>
    <t>Campo de correo</t>
  </si>
  <si>
    <t>Campo de contraseña</t>
  </si>
  <si>
    <t>Campo de confirmación de contraseña</t>
  </si>
  <si>
    <t>Añadir validaciones por campo</t>
  </si>
  <si>
    <t xml:space="preserve">Cantidad de caracteres </t>
  </si>
  <si>
    <t>Signos permitidos</t>
  </si>
  <si>
    <t>Uso de mayusculas</t>
  </si>
  <si>
    <t>invalidar campos vacíos</t>
  </si>
  <si>
    <t>Añadir botón de crear cuenta</t>
  </si>
  <si>
    <t>Componente para eleccion del monto en dinero virtual</t>
  </si>
  <si>
    <t>Estilos de formulario</t>
  </si>
  <si>
    <t>Estilos de titulo</t>
  </si>
  <si>
    <t>Estilos de campos</t>
  </si>
  <si>
    <t>Estilos para monto virtual</t>
  </si>
  <si>
    <t>Estilos para botón de registro</t>
  </si>
  <si>
    <t>Creacion de Fortmulario</t>
  </si>
  <si>
    <t>Mensaje de invalidacion para campos faltantes</t>
  </si>
  <si>
    <t>Condicionar el envio de registro hasta validar los campos</t>
  </si>
  <si>
    <t>Mensaje de advertencia para incumplimiento de condiciones en campos</t>
  </si>
  <si>
    <t>Validaciones</t>
  </si>
  <si>
    <t>Envio de registro</t>
  </si>
  <si>
    <t>Almacenar informacion en un Endpoit</t>
  </si>
  <si>
    <t>Encriptar contraseña</t>
  </si>
  <si>
    <t>Guardar usuario en la base de datos.</t>
  </si>
  <si>
    <t>Estilos para campos no validados</t>
  </si>
  <si>
    <t>Estilos de mensaje de error</t>
  </si>
  <si>
    <t>Completo</t>
  </si>
  <si>
    <t>Pendiente</t>
  </si>
  <si>
    <t>En proceso</t>
  </si>
  <si>
    <t>Estimado original H</t>
  </si>
  <si>
    <t>SPRINT #2 - Registro</t>
  </si>
  <si>
    <t>Tener listo los botones y formularios de registro para almacenar la información de un nuevo usuario</t>
  </si>
  <si>
    <t>Ajustes</t>
  </si>
  <si>
    <t>https://github.com/Disoalmo/Simulador.git</t>
  </si>
  <si>
    <t>(ID) de la Historia</t>
  </si>
  <si>
    <t>Enunciado de la Historia</t>
  </si>
  <si>
    <t>Alias</t>
  </si>
  <si>
    <t>Esfuerzo</t>
  </si>
  <si>
    <t xml:space="preserve"> (Sprint)</t>
  </si>
  <si>
    <t>Prioridad</t>
  </si>
  <si>
    <t>Comentarios</t>
  </si>
  <si>
    <t>HU01</t>
  </si>
  <si>
    <r>
      <rPr>
        <b/>
        <sz val="11"/>
        <color theme="1"/>
        <rFont val="Calibri"/>
        <family val="2"/>
        <scheme val="minor"/>
      </rPr>
      <t>Página principal</t>
    </r>
    <r>
      <rPr>
        <sz val="11"/>
        <color theme="1"/>
        <rFont val="Calibri"/>
        <family val="2"/>
        <scheme val="minor"/>
      </rPr>
      <t xml:space="preserve">
Como alumno quiero poder ver información general para saber de que trata el sitio.</t>
    </r>
  </si>
  <si>
    <t xml:space="preserve">•Logo
•Diseño UI/UX
•Imagen o ilustración relacionada
•Título de pagina 
•Subtitulo con descripción de la pagina
•Información general de la página
•Botón de comenzar o registrarse
•Botón de inicio de sesión
</t>
  </si>
  <si>
    <t>Página principal</t>
  </si>
  <si>
    <t>#1</t>
  </si>
  <si>
    <t>El logo debe quedar estático para verse en cualquier otra pagina al navegar</t>
  </si>
  <si>
    <r>
      <rPr>
        <b/>
        <sz val="11"/>
        <color theme="1"/>
        <rFont val="Calibri"/>
        <family val="2"/>
        <scheme val="minor"/>
      </rPr>
      <t>Registro de usuario</t>
    </r>
    <r>
      <rPr>
        <sz val="11"/>
        <color theme="1"/>
        <rFont val="Calibri"/>
        <family val="2"/>
        <scheme val="minor"/>
      </rPr>
      <t xml:space="preserve">
Como alumno quiero poder registrarme en el sitio para tener y manejar una cuenta propia</t>
    </r>
  </si>
  <si>
    <t>•Formulario de registro
•Campo de nombre de usuario
•Campo para correo
•Campo para contraseña
•Campo de confirmación de contraseña
•Botón de enviar y continuar</t>
  </si>
  <si>
    <t xml:space="preserve">Registro </t>
  </si>
  <si>
    <t>En progreso</t>
  </si>
  <si>
    <t>#2</t>
  </si>
  <si>
    <t>No se permitirá continuar si hay campos faltantes
Se deben marcar en rojo los campos faltantes</t>
  </si>
  <si>
    <t>HU03</t>
  </si>
  <si>
    <r>
      <rPr>
        <b/>
        <sz val="11"/>
        <color theme="1"/>
        <rFont val="Calibri"/>
        <family val="2"/>
        <scheme val="minor"/>
      </rPr>
      <t>Inicio de sesión</t>
    </r>
    <r>
      <rPr>
        <sz val="11"/>
        <color theme="1"/>
        <rFont val="Calibri"/>
        <family val="2"/>
        <scheme val="minor"/>
      </rPr>
      <t xml:space="preserve">
Como alumno quiero poder iniciar sesión para acceder a mi cuenta personal</t>
    </r>
  </si>
  <si>
    <t>•Formulario de inicio de sesión
•Campo de usuario
•Campo para correo
•Campo para contraseña
•Botón para enviar y acceder 
•Opción de "olvide la contraseña"</t>
  </si>
  <si>
    <t>Inicio de sesión</t>
  </si>
  <si>
    <t>#3</t>
  </si>
  <si>
    <t>No se permitirá continuar si algún campo es incorrecto
Se mostrara un mensaje de advertencia si algo es incorrecto</t>
  </si>
  <si>
    <t>HU04</t>
  </si>
  <si>
    <r>
      <rPr>
        <b/>
        <sz val="11"/>
        <color theme="1"/>
        <rFont val="Calibri"/>
        <family val="2"/>
        <scheme val="minor"/>
      </rPr>
      <t>Categorias de tipos de inversion</t>
    </r>
    <r>
      <rPr>
        <sz val="11"/>
        <color theme="1"/>
        <rFont val="Calibri"/>
        <family val="2"/>
        <scheme val="minor"/>
      </rPr>
      <t xml:space="preserve">
Como alumno quiero tener distintas opciones de inversión para tener inversiones distintas</t>
    </r>
  </si>
  <si>
    <t xml:space="preserve">•Añadir barra lateral 
•Divir los titulos por sección
•Añadir estilos de la barra
•Añadir estilos hover 
</t>
  </si>
  <si>
    <t>Tipo de inversión</t>
  </si>
  <si>
    <t>pendiente</t>
  </si>
  <si>
    <t>#4</t>
  </si>
  <si>
    <t>HU05</t>
  </si>
  <si>
    <r>
      <rPr>
        <b/>
        <sz val="11"/>
        <color theme="1"/>
        <rFont val="Calibri"/>
        <family val="2"/>
        <scheme val="minor"/>
      </rPr>
      <t>Empresas y precios dinamicos</t>
    </r>
    <r>
      <rPr>
        <sz val="11"/>
        <color theme="1"/>
        <rFont val="Calibri"/>
        <family val="2"/>
        <scheme val="minor"/>
      </rPr>
      <t xml:space="preserve">
Como alumno quiero poder ver las empresas y sus precios en tiempo real para poder analizar mi inversión</t>
    </r>
  </si>
  <si>
    <t>•Organizar el contenido de la pagina
•Mostrar lista de empresas
•Mostar precios dinamicos
•Actualizar información en tiempo real
•Agregar estilos a la seccion
•Añadir estilos a la lista
•Añadir estilos hover al seleccionar una empresa</t>
  </si>
  <si>
    <t>Empresas</t>
  </si>
  <si>
    <t>#5</t>
  </si>
  <si>
    <t>Se actualizaran los datos en tiempo real</t>
  </si>
  <si>
    <t>HU06</t>
  </si>
  <si>
    <r>
      <rPr>
        <b/>
        <sz val="11"/>
        <color theme="1"/>
        <rFont val="Calibri"/>
        <family val="2"/>
        <scheme val="minor"/>
      </rPr>
      <t>Graficos de empresa</t>
    </r>
    <r>
      <rPr>
        <sz val="11"/>
        <color theme="1"/>
        <rFont val="Calibri"/>
        <family val="2"/>
        <scheme val="minor"/>
      </rPr>
      <t xml:space="preserve">
Como alumno quiero poder ver gráficos de la empresa que seleccione para evaluar su comportamiento</t>
    </r>
  </si>
  <si>
    <t>•Seccion de grafico al seleccionar la empresa
•Posicionar y ajustar la seccion del grafico
•Añadir estilos de seccion
•Obtener datos de API externa
•Crear grafico con los datos extraidos
•Añadir estilos al grafico
•Actualizar datos en tiempo real
•Añadir temporalidades</t>
  </si>
  <si>
    <t>Graficos</t>
  </si>
  <si>
    <t>#6</t>
  </si>
  <si>
    <t>HU07</t>
  </si>
  <si>
    <r>
      <rPr>
        <b/>
        <sz val="11"/>
        <color theme="1"/>
        <rFont val="Calibri"/>
        <family val="2"/>
        <scheme val="minor"/>
      </rPr>
      <t>Compra y venta de acciones</t>
    </r>
    <r>
      <rPr>
        <sz val="11"/>
        <color theme="1"/>
        <rFont val="Calibri"/>
        <family val="2"/>
        <scheme val="minor"/>
      </rPr>
      <t xml:space="preserve">
Como alumno quiero comprar y vender acciones con mi dinero virtual para aprender a invertir</t>
    </r>
  </si>
  <si>
    <t>•Seccion de compra y venta
•Nombre de la empresa
•Selección de compra o venta
•Campo de cantidad de acciones
•Mostrar precio
•Precio total de la compra o venta</t>
  </si>
  <si>
    <t>Compra y venta</t>
  </si>
  <si>
    <t>#7</t>
  </si>
  <si>
    <t>HU08</t>
  </si>
  <si>
    <r>
      <rPr>
        <b/>
        <sz val="11"/>
        <color theme="1"/>
        <rFont val="Calibri"/>
        <family val="2"/>
        <scheme val="minor"/>
      </rPr>
      <t>Dinero virtual</t>
    </r>
    <r>
      <rPr>
        <sz val="11"/>
        <color theme="1"/>
        <rFont val="Calibri"/>
        <family val="2"/>
        <scheme val="minor"/>
      </rPr>
      <t xml:space="preserve">
Como alumno quiero poder ver cuanto dinero virtual tengo para utilizarlo en inversiones</t>
    </r>
  </si>
  <si>
    <t xml:space="preserve">•Añadir valor de dinero virtual
•Posicionar el valor en la pagina
•Agregar estilos al valor 
•Actual izar el valor en tiempo real
</t>
  </si>
  <si>
    <t>Dinero virtual</t>
  </si>
  <si>
    <t>#8</t>
  </si>
  <si>
    <t>HU09</t>
  </si>
  <si>
    <r>
      <rPr>
        <b/>
        <sz val="11"/>
        <color theme="1"/>
        <rFont val="Calibri"/>
        <family val="2"/>
        <scheme val="minor"/>
      </rPr>
      <t>Carpeta de inversion</t>
    </r>
    <r>
      <rPr>
        <sz val="11"/>
        <color theme="1"/>
        <rFont val="Calibri"/>
        <family val="2"/>
        <scheme val="minor"/>
      </rPr>
      <t xml:space="preserve">
Como alumno quiero tener mi carpeta de inversión para llevar una organización de mis inversiones</t>
    </r>
  </si>
  <si>
    <t>•Barra de tareas
•Añadir opcion de carpeta
•Añadir estilos a la opcion de la barra
•Redirigir a la pagina de la carpeta
•Diseño de la carpeta
•Mostar secciones por tipo de inversion
•Mostar inversiones activas
•Mostar ganancias por inversion, fecha de inicio y estatus</t>
  </si>
  <si>
    <t>Carpeta de inversion</t>
  </si>
  <si>
    <t>#9</t>
  </si>
  <si>
    <t>HU10</t>
  </si>
  <si>
    <r>
      <rPr>
        <b/>
        <sz val="11"/>
        <color theme="1"/>
        <rFont val="Calibri"/>
        <family val="2"/>
        <scheme val="minor"/>
      </rPr>
      <t>Historial de ganancias</t>
    </r>
    <r>
      <rPr>
        <sz val="11"/>
        <color theme="1"/>
        <rFont val="Calibri"/>
        <family val="2"/>
        <scheme val="minor"/>
      </rPr>
      <t xml:space="preserve">
Como alumno quiero tener un historial de ganancias y perdidas para mejorar mis inversiones</t>
    </r>
  </si>
  <si>
    <t xml:space="preserve">•Añadir opcion a la barra de tareas
•Diseñar pagina de historial
•Mostar compras y ventas realizadas
•Mostar ganancias por accion
•Mostrar total acumulado
•Mostar opcion de temporalidad
•permitir ver detalle de ganancia o perdida </t>
  </si>
  <si>
    <t xml:space="preserve">Historial </t>
  </si>
  <si>
    <t>#10</t>
  </si>
  <si>
    <t>HU11</t>
  </si>
  <si>
    <r>
      <rPr>
        <b/>
        <sz val="11"/>
        <color theme="1"/>
        <rFont val="Calibri"/>
        <family val="2"/>
        <scheme val="minor"/>
      </rPr>
      <t>Tutoriales</t>
    </r>
    <r>
      <rPr>
        <sz val="11"/>
        <color theme="1"/>
        <rFont val="Calibri"/>
        <family val="2"/>
        <scheme val="minor"/>
      </rPr>
      <t xml:space="preserve">
Como alumno quiero tener acceso a tutoriales y cursos para aprender estrategias de inversión</t>
    </r>
  </si>
  <si>
    <t>•Añadir opcion a barra de tareas
•Diseño de la pagina 
•Seccionar los cuersos por nivel
•Accer a los videos
•Estilos de seccion 
•Reproduccion de videos</t>
  </si>
  <si>
    <t>Tutoriales</t>
  </si>
  <si>
    <t>#11</t>
  </si>
  <si>
    <t xml:space="preserve"> </t>
  </si>
  <si>
    <r>
      <rPr>
        <b/>
        <sz val="11"/>
        <color theme="1"/>
        <rFont val="Calibri"/>
        <family val="2"/>
        <scheme val="minor"/>
      </rPr>
      <t>Informacion de usuario</t>
    </r>
    <r>
      <rPr>
        <sz val="11"/>
        <color theme="1"/>
        <rFont val="Calibri"/>
        <family val="2"/>
        <scheme val="minor"/>
      </rPr>
      <t xml:space="preserve">
Como alumno quiero tener un perfil con mi información personal para poder actualizarla si es necesario</t>
    </r>
  </si>
  <si>
    <t xml:space="preserve">•Diseñar campos editables
•Mostar el nombre de usuario
•Mostar correo utilizado
•Añadir opcion de cambio de ocntraseña
</t>
  </si>
  <si>
    <t>Usuario</t>
  </si>
  <si>
    <t>#12</t>
  </si>
  <si>
    <t>Anterior</t>
  </si>
  <si>
    <t>Nuevo</t>
  </si>
  <si>
    <t>SPRINT</t>
  </si>
  <si>
    <t>Entregable</t>
  </si>
  <si>
    <t>Puntos de historia estimados</t>
  </si>
  <si>
    <t>Dias estimados</t>
  </si>
  <si>
    <t>Fecha de inicio</t>
  </si>
  <si>
    <t>Fecha de fin</t>
  </si>
  <si>
    <t>Objetivo al finalizar</t>
  </si>
  <si>
    <t>Sprint #1</t>
  </si>
  <si>
    <t xml:space="preserve">*Página principal
</t>
  </si>
  <si>
    <t>2 semanas</t>
  </si>
  <si>
    <t>Tener lista una pagina principal donde cualquier alumno pueda revisar información general de la pagina.</t>
  </si>
  <si>
    <t>Sprint #2</t>
  </si>
  <si>
    <t>3 semanas</t>
  </si>
  <si>
    <t>Sprint #3</t>
  </si>
  <si>
    <t>*Tipos de inversion</t>
  </si>
  <si>
    <t>Tener lista una barra laterial con todos los tipos de inversion que el alumno puede analizar</t>
  </si>
  <si>
    <t>Sprint #4</t>
  </si>
  <si>
    <t xml:space="preserve">
*Empresas
*Graficos</t>
  </si>
  <si>
    <t xml:space="preserve">2 semanas </t>
  </si>
  <si>
    <t>Mostar toda la información en tiempo real de las empresas y precios para que el alumno analice la compra</t>
  </si>
  <si>
    <t>Sprint #5</t>
  </si>
  <si>
    <t>*Compra y venta
*Dinero virtual</t>
  </si>
  <si>
    <t>Tener una sección para la compra y venta de acciones</t>
  </si>
  <si>
    <t>Sprint #6</t>
  </si>
  <si>
    <t xml:space="preserve">
*Carpeta de inversión</t>
  </si>
  <si>
    <t>Que el alumno pueda acceder a su carpeta de inversión y mostar todas sus inversiones</t>
  </si>
  <si>
    <t>Sprint #7</t>
  </si>
  <si>
    <t>*Historial</t>
  </si>
  <si>
    <t>Mostar todo el historial de acciones y ganancias del alumno</t>
  </si>
  <si>
    <t>Sprint #8</t>
  </si>
  <si>
    <t>*Tutoriales</t>
  </si>
  <si>
    <t>Tener una sección lista con todos los cursos y tutoriales</t>
  </si>
  <si>
    <t>Sprint #9</t>
  </si>
  <si>
    <t>*Usuario</t>
  </si>
  <si>
    <t xml:space="preserve">1 semana </t>
  </si>
  <si>
    <t>Mostrar la información de usuario</t>
  </si>
  <si>
    <t>Sprint #10</t>
  </si>
  <si>
    <t xml:space="preserve">
*Inicio de sesión</t>
  </si>
  <si>
    <t>*Registro de usuario</t>
  </si>
  <si>
    <t>Tener listo el boton y pagina de registro</t>
  </si>
  <si>
    <t>Tener listo el boton y pagina de inicio de sesión</t>
  </si>
  <si>
    <t>Reorganización de tareas de acuerdo a React</t>
  </si>
  <si>
    <t>Separación de paginas de registro y sesión por sprint</t>
  </si>
  <si>
    <t>Entre 4-6 H por día</t>
  </si>
  <si>
    <t>Horas</t>
  </si>
  <si>
    <t xml:space="preserve">Dias </t>
  </si>
  <si>
    <t>Entre 2-3 H por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</si>
</sst>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6"/>
      <color theme="0"/>
      <name val="Calibri"/>
      <family val="2"/>
      <scheme val="minor"/>
    </font>
    <font>
      <sz val="12"/>
      <color theme="1"/>
      <name val="Arial"/>
      <family val="2"/>
    </font>
    <font>
      <b/>
      <sz val="14"/>
      <color rgb="FF000000"/>
      <name val="Calibri"/>
      <family val="2"/>
    </font>
    <font>
      <b/>
      <sz val="16"/>
      <color theme="1"/>
      <name val="Arial"/>
      <family val="2"/>
    </font>
    <font>
      <sz val="11"/>
      <color theme="1"/>
      <name val="Arial"/>
      <family val="2"/>
    </font>
    <font>
      <sz val="12"/>
      <color theme="1"/>
      <name val="Calibri"/>
      <family val="2"/>
      <scheme val="minor"/>
    </font>
    <font>
      <b/>
      <sz val="14"/>
      <color theme="1"/>
      <name val="Calibri"/>
      <family val="2"/>
      <scheme val="minor"/>
    </font>
    <font>
      <b/>
      <sz val="20"/>
      <color theme="0"/>
      <name val="Aptos Black"/>
      <family val="2"/>
    </font>
    <font>
      <u/>
      <sz val="11"/>
      <color theme="10"/>
      <name val="Calibri"/>
      <family val="2"/>
      <scheme val="minor"/>
    </font>
    <font>
      <sz val="16"/>
      <color theme="1"/>
      <name val="Calibri"/>
      <family val="2"/>
      <scheme val="minor"/>
    </font>
    <font>
      <b/>
      <sz val="11"/>
      <color rgb="FF000000"/>
      <name val="Calibri"/>
      <family val="2"/>
    </font>
    <font>
      <sz val="11"/>
      <color rgb="FF000000"/>
      <name val="Calibri"/>
      <family val="2"/>
      <scheme val="minor"/>
    </font>
    <font>
      <b/>
      <sz val="12"/>
      <color theme="4" tint="-0.249977111117893"/>
      <name val="Calibri"/>
      <family val="2"/>
      <scheme val="minor"/>
    </font>
    <font>
      <sz val="16"/>
      <color rgb="FF555555"/>
      <name val="Arial"/>
      <family val="2"/>
    </font>
    <font>
      <sz val="14"/>
      <color rgb="FF555555"/>
      <name val="Arial"/>
      <family val="2"/>
    </font>
    <font>
      <b/>
      <sz val="12"/>
      <color theme="1"/>
      <name val="Calibri"/>
      <family val="2"/>
      <scheme val="minor"/>
    </font>
    <font>
      <sz val="8"/>
      <name val="Calibri"/>
      <family val="2"/>
      <scheme val="minor"/>
    </font>
    <font>
      <b/>
      <sz val="12"/>
      <color theme="1"/>
      <name val="Arial"/>
      <family val="2"/>
    </font>
    <font>
      <u/>
      <sz val="11"/>
      <color theme="1"/>
      <name val="Calibri"/>
      <family val="2"/>
      <scheme val="minor"/>
    </font>
  </fonts>
  <fills count="18">
    <fill>
      <patternFill patternType="none"/>
    </fill>
    <fill>
      <patternFill patternType="gray125"/>
    </fill>
    <fill>
      <patternFill patternType="solid">
        <fgColor theme="2" tint="-9.9978637043366805E-2"/>
        <bgColor indexed="64"/>
      </patternFill>
    </fill>
    <fill>
      <patternFill patternType="solid">
        <fgColor theme="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theme="1"/>
        <bgColor indexed="64"/>
      </patternFill>
    </fill>
    <fill>
      <patternFill patternType="solid">
        <fgColor rgb="FF2F5496"/>
        <bgColor indexed="64"/>
      </patternFill>
    </fill>
    <fill>
      <patternFill patternType="solid">
        <fgColor rgb="FFFFFF99"/>
        <bgColor indexed="64"/>
      </patternFill>
    </fill>
    <fill>
      <patternFill patternType="solid">
        <fgColor rgb="FFE37979"/>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39997558519241921"/>
        <bgColor indexed="64"/>
      </patternFill>
    </fill>
  </fills>
  <borders count="16">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3">
    <xf numFmtId="0" fontId="0" fillId="0" borderId="0"/>
    <xf numFmtId="0" fontId="12" fillId="0" borderId="0" applyNumberFormat="0" applyFill="0" applyBorder="0" applyAlignment="0" applyProtection="0"/>
    <xf numFmtId="0" fontId="9" fillId="0" borderId="0"/>
  </cellStyleXfs>
  <cellXfs count="82">
    <xf numFmtId="0" fontId="0" fillId="0" borderId="0" xfId="0"/>
    <xf numFmtId="0" fontId="0" fillId="0" borderId="0" xfId="0" applyAlignment="1">
      <alignment horizontal="center" vertical="center"/>
    </xf>
    <xf numFmtId="0" fontId="3" fillId="0" borderId="0" xfId="0" applyFont="1" applyAlignment="1">
      <alignment vertical="center"/>
    </xf>
    <xf numFmtId="0" fontId="4" fillId="3" borderId="0" xfId="0" applyFont="1" applyFill="1" applyAlignment="1">
      <alignment horizontal="center" vertical="center"/>
    </xf>
    <xf numFmtId="0" fontId="5" fillId="0" borderId="0" xfId="0" applyFont="1" applyAlignment="1">
      <alignment vertical="center" wrapText="1"/>
    </xf>
    <xf numFmtId="16" fontId="0" fillId="0" borderId="2" xfId="0" applyNumberFormat="1" applyBorder="1" applyAlignment="1">
      <alignment horizontal="center" vertical="center"/>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5" fillId="5" borderId="8" xfId="0" applyFont="1" applyFill="1" applyBorder="1" applyAlignment="1">
      <alignment horizontal="center" vertical="center"/>
    </xf>
    <xf numFmtId="0" fontId="0" fillId="0" borderId="0" xfId="0" applyAlignment="1">
      <alignment horizontal="center"/>
    </xf>
    <xf numFmtId="0" fontId="7" fillId="5" borderId="11" xfId="0" applyFont="1" applyFill="1" applyBorder="1" applyAlignment="1">
      <alignment horizontal="center" vertical="center"/>
    </xf>
    <xf numFmtId="0" fontId="0" fillId="0" borderId="2" xfId="0" applyBorder="1" applyAlignment="1">
      <alignment wrapText="1"/>
    </xf>
    <xf numFmtId="0" fontId="0" fillId="0" borderId="2" xfId="0" applyBorder="1" applyAlignment="1">
      <alignment horizontal="center" vertical="center" wrapText="1"/>
    </xf>
    <xf numFmtId="0" fontId="0" fillId="0" borderId="2" xfId="0" applyBorder="1" applyAlignment="1">
      <alignment horizontal="center" wrapText="1"/>
    </xf>
    <xf numFmtId="0" fontId="8" fillId="0" borderId="2" xfId="0" applyFont="1" applyBorder="1" applyAlignment="1">
      <alignment horizontal="center" wrapText="1"/>
    </xf>
    <xf numFmtId="0" fontId="8" fillId="0" borderId="2" xfId="0" applyFont="1" applyBorder="1" applyAlignment="1">
      <alignment wrapText="1"/>
    </xf>
    <xf numFmtId="0" fontId="8" fillId="0" borderId="2" xfId="0" applyFont="1" applyBorder="1" applyAlignment="1">
      <alignment horizontal="center" vertical="center" wrapText="1"/>
    </xf>
    <xf numFmtId="0" fontId="8" fillId="0" borderId="2" xfId="0" applyFont="1" applyBorder="1"/>
    <xf numFmtId="0" fontId="0" fillId="5" borderId="8" xfId="0" applyFill="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0" fontId="0" fillId="8" borderId="2" xfId="0" applyFill="1" applyBorder="1" applyAlignment="1">
      <alignment horizontal="center" wrapText="1"/>
    </xf>
    <xf numFmtId="0" fontId="0" fillId="6" borderId="2" xfId="0" applyFill="1" applyBorder="1" applyAlignment="1">
      <alignment horizontal="center" wrapText="1"/>
    </xf>
    <xf numFmtId="0" fontId="0" fillId="7" borderId="2" xfId="0" applyFill="1" applyBorder="1" applyAlignment="1">
      <alignment horizontal="center" wrapText="1"/>
    </xf>
    <xf numFmtId="0" fontId="0" fillId="11" borderId="0" xfId="0" applyFill="1"/>
    <xf numFmtId="0" fontId="14" fillId="12" borderId="11" xfId="0" applyFont="1" applyFill="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left" vertical="center" wrapText="1"/>
    </xf>
    <xf numFmtId="0" fontId="15" fillId="0" borderId="0" xfId="0" applyFont="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13" borderId="5" xfId="0" applyFill="1" applyBorder="1" applyAlignment="1">
      <alignment horizontal="center" vertical="center" wrapText="1"/>
    </xf>
    <xf numFmtId="0" fontId="0" fillId="14" borderId="5" xfId="0" applyFill="1" applyBorder="1" applyAlignment="1">
      <alignment horizontal="center" vertical="center" wrapText="1"/>
    </xf>
    <xf numFmtId="0" fontId="0" fillId="6" borderId="5" xfId="0" applyFill="1" applyBorder="1" applyAlignment="1">
      <alignment horizontal="center" vertical="center" wrapText="1"/>
    </xf>
    <xf numFmtId="0" fontId="9" fillId="0" borderId="0" xfId="2"/>
    <xf numFmtId="0" fontId="18" fillId="0" borderId="0" xfId="2" applyFont="1" applyAlignment="1">
      <alignment horizontal="left" vertical="center" wrapText="1"/>
    </xf>
    <xf numFmtId="0" fontId="18" fillId="0" borderId="0" xfId="2" applyFont="1" applyAlignment="1">
      <alignment horizontal="center" vertical="center" wrapText="1"/>
    </xf>
    <xf numFmtId="0" fontId="19" fillId="15" borderId="2" xfId="2" applyFont="1" applyFill="1" applyBorder="1" applyAlignment="1">
      <alignment horizontal="center" vertical="center"/>
    </xf>
    <xf numFmtId="0" fontId="19" fillId="15" borderId="0" xfId="2" applyFont="1" applyFill="1" applyAlignment="1">
      <alignment horizontal="center" vertical="center"/>
    </xf>
    <xf numFmtId="0" fontId="19" fillId="15" borderId="0" xfId="2" applyFont="1" applyFill="1" applyAlignment="1">
      <alignment horizontal="center" vertical="center" wrapText="1"/>
    </xf>
    <xf numFmtId="0" fontId="9" fillId="16" borderId="2" xfId="2" applyFill="1" applyBorder="1" applyAlignment="1">
      <alignment horizontal="center" vertical="center"/>
    </xf>
    <xf numFmtId="0" fontId="9" fillId="0" borderId="2" xfId="2" applyBorder="1" applyAlignment="1">
      <alignment horizontal="left" vertical="center" wrapText="1"/>
    </xf>
    <xf numFmtId="0" fontId="9" fillId="0" borderId="2" xfId="2" applyBorder="1" applyAlignment="1">
      <alignment horizontal="center" vertical="center"/>
    </xf>
    <xf numFmtId="15" fontId="9" fillId="0" borderId="2" xfId="2" applyNumberFormat="1" applyBorder="1" applyAlignment="1">
      <alignment horizontal="center" vertical="center"/>
    </xf>
    <xf numFmtId="0" fontId="9" fillId="2" borderId="2" xfId="2" applyFill="1" applyBorder="1" applyAlignment="1">
      <alignment horizontal="left" vertical="center" wrapText="1"/>
    </xf>
    <xf numFmtId="0" fontId="9" fillId="0" borderId="0" xfId="2" applyAlignment="1">
      <alignment horizontal="center" vertical="center"/>
    </xf>
    <xf numFmtId="0" fontId="9" fillId="0" borderId="2" xfId="2" applyBorder="1" applyAlignment="1">
      <alignment horizontal="center" vertical="center" wrapText="1"/>
    </xf>
    <xf numFmtId="0" fontId="9" fillId="0" borderId="2" xfId="2" applyBorder="1" applyAlignment="1">
      <alignment horizontal="left" vertical="center"/>
    </xf>
    <xf numFmtId="0" fontId="5" fillId="2" borderId="8" xfId="0" applyFont="1" applyFill="1" applyBorder="1" applyAlignment="1">
      <alignment horizontal="center" vertical="center"/>
    </xf>
    <xf numFmtId="0" fontId="5" fillId="5" borderId="14" xfId="0" applyFont="1" applyFill="1" applyBorder="1" applyAlignment="1">
      <alignment horizontal="center" vertical="center"/>
    </xf>
    <xf numFmtId="0" fontId="0" fillId="0" borderId="2" xfId="0" applyBorder="1" applyAlignment="1">
      <alignment horizontal="center" vertical="center"/>
    </xf>
    <xf numFmtId="0" fontId="0" fillId="2" borderId="2" xfId="0" applyFill="1" applyBorder="1" applyAlignment="1">
      <alignment horizontal="center" vertical="center"/>
    </xf>
    <xf numFmtId="0" fontId="21" fillId="17" borderId="15" xfId="0" applyFont="1" applyFill="1" applyBorder="1" applyAlignment="1">
      <alignment horizontal="center" vertical="center" wrapText="1"/>
    </xf>
    <xf numFmtId="0" fontId="21" fillId="17" borderId="4" xfId="0" applyFont="1" applyFill="1" applyBorder="1" applyAlignment="1">
      <alignment horizontal="center" vertical="center" wrapText="1"/>
    </xf>
    <xf numFmtId="0" fontId="0" fillId="0" borderId="5" xfId="0" applyBorder="1" applyAlignment="1">
      <alignment horizontal="center"/>
    </xf>
    <xf numFmtId="0" fontId="0" fillId="0" borderId="6" xfId="0" applyBorder="1" applyAlignment="1">
      <alignment horizontal="center"/>
    </xf>
    <xf numFmtId="0" fontId="22" fillId="0" borderId="2" xfId="0" applyFont="1" applyBorder="1" applyAlignment="1">
      <alignment horizontal="center" vertical="center"/>
    </xf>
    <xf numFmtId="0" fontId="16" fillId="0" borderId="0" xfId="0" applyFont="1" applyAlignment="1">
      <alignment horizontal="center"/>
    </xf>
    <xf numFmtId="0" fontId="0" fillId="0" borderId="0" xfId="0" applyAlignment="1">
      <alignment horizontal="center"/>
    </xf>
    <xf numFmtId="0" fontId="10" fillId="9" borderId="0" xfId="0" applyFont="1" applyFill="1" applyAlignment="1">
      <alignment horizontal="center"/>
    </xf>
    <xf numFmtId="0" fontId="11" fillId="10" borderId="0" xfId="0" applyFont="1" applyFill="1" applyAlignment="1">
      <alignment horizontal="center" vertical="center"/>
    </xf>
    <xf numFmtId="0" fontId="12" fillId="0" borderId="0" xfId="1" applyAlignment="1">
      <alignment horizontal="center" vertical="center"/>
    </xf>
    <xf numFmtId="0" fontId="13" fillId="0" borderId="0" xfId="0" applyFont="1" applyAlignment="1">
      <alignment horizontal="center" vertical="center"/>
    </xf>
    <xf numFmtId="0" fontId="12" fillId="6" borderId="0" xfId="1" applyFill="1" applyAlignment="1">
      <alignment horizontal="center" vertical="center" wrapText="1"/>
    </xf>
    <xf numFmtId="0" fontId="17" fillId="6" borderId="0" xfId="2" applyFont="1" applyFill="1" applyAlignment="1">
      <alignment horizontal="center" vertical="center" wrapText="1"/>
    </xf>
    <xf numFmtId="0" fontId="0" fillId="0" borderId="2" xfId="0" applyBorder="1" applyAlignment="1">
      <alignment horizontal="center" vertical="center" wrapText="1"/>
    </xf>
    <xf numFmtId="0" fontId="0" fillId="7" borderId="13"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0" borderId="2" xfId="0" applyBorder="1" applyAlignment="1">
      <alignment horizontal="center" vertical="center"/>
    </xf>
    <xf numFmtId="0" fontId="8" fillId="0" borderId="2" xfId="0" applyFont="1" applyBorder="1" applyAlignment="1">
      <alignment horizontal="center" vertical="center" wrapText="1"/>
    </xf>
    <xf numFmtId="0" fontId="2" fillId="2" borderId="0" xfId="0" applyFont="1" applyFill="1" applyAlignment="1">
      <alignment horizontal="center" vertical="center"/>
    </xf>
    <xf numFmtId="0" fontId="5"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5" fillId="5" borderId="12" xfId="0" applyFont="1" applyFill="1" applyBorder="1" applyAlignment="1">
      <alignment horizontal="center" vertical="center"/>
    </xf>
    <xf numFmtId="0" fontId="5" fillId="5" borderId="8" xfId="0" applyFont="1" applyFill="1" applyBorder="1" applyAlignment="1">
      <alignment horizontal="center" vertical="center"/>
    </xf>
    <xf numFmtId="0" fontId="8" fillId="0" borderId="2" xfId="0" applyFont="1" applyBorder="1" applyAlignment="1">
      <alignment horizontal="center" wrapText="1"/>
    </xf>
  </cellXfs>
  <cellStyles count="3">
    <cellStyle name="Hipervínculo" xfId="1" builtinId="8"/>
    <cellStyle name="Normal" xfId="0" builtinId="0"/>
    <cellStyle name="Normal 2" xfId="2" xr:uid="{36418FF3-610F-4FCE-BC25-19F4ADDF83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9</xdr:row>
      <xdr:rowOff>171449</xdr:rowOff>
    </xdr:from>
    <xdr:to>
      <xdr:col>3</xdr:col>
      <xdr:colOff>1904</xdr:colOff>
      <xdr:row>33</xdr:row>
      <xdr:rowOff>130497</xdr:rowOff>
    </xdr:to>
    <xdr:pic>
      <xdr:nvPicPr>
        <xdr:cNvPr id="2" name="Imagen 1">
          <a:extLst>
            <a:ext uri="{FF2B5EF4-FFF2-40B4-BE49-F238E27FC236}">
              <a16:creationId xmlns:a16="http://schemas.microsoft.com/office/drawing/2014/main" id="{AB5314EF-C916-E5D0-B547-97B12E0D9ACA}"/>
            </a:ext>
          </a:extLst>
        </xdr:cNvPr>
        <xdr:cNvPicPr>
          <a:picLocks noChangeAspect="1"/>
        </xdr:cNvPicPr>
      </xdr:nvPicPr>
      <xdr:blipFill>
        <a:blip xmlns:r="http://schemas.openxmlformats.org/officeDocument/2006/relationships" r:embed="rId1"/>
        <a:stretch>
          <a:fillRect/>
        </a:stretch>
      </xdr:blipFill>
      <xdr:spPr>
        <a:xfrm>
          <a:off x="742950" y="1781174"/>
          <a:ext cx="2674619" cy="4292923"/>
        </a:xfrm>
        <a:prstGeom prst="rect">
          <a:avLst/>
        </a:prstGeom>
      </xdr:spPr>
    </xdr:pic>
    <xdr:clientData/>
  </xdr:twoCellAnchor>
  <xdr:twoCellAnchor editAs="oneCell">
    <xdr:from>
      <xdr:col>3</xdr:col>
      <xdr:colOff>38490</xdr:colOff>
      <xdr:row>8</xdr:row>
      <xdr:rowOff>123824</xdr:rowOff>
    </xdr:from>
    <xdr:to>
      <xdr:col>8</xdr:col>
      <xdr:colOff>455294</xdr:colOff>
      <xdr:row>33</xdr:row>
      <xdr:rowOff>93345</xdr:rowOff>
    </xdr:to>
    <xdr:pic>
      <xdr:nvPicPr>
        <xdr:cNvPr id="3" name="Imagen 2" descr="Tabla&#10;&#10;El contenido generado por IA puede ser incorrecto.">
          <a:extLst>
            <a:ext uri="{FF2B5EF4-FFF2-40B4-BE49-F238E27FC236}">
              <a16:creationId xmlns:a16="http://schemas.microsoft.com/office/drawing/2014/main" id="{BA58E76F-F33F-8069-875B-ACE50AA50E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7965" y="1552574"/>
          <a:ext cx="5198354" cy="4505326"/>
        </a:xfrm>
        <a:prstGeom prst="rect">
          <a:avLst/>
        </a:prstGeom>
      </xdr:spPr>
    </xdr:pic>
    <xdr:clientData/>
  </xdr:twoCellAnchor>
  <xdr:twoCellAnchor editAs="oneCell">
    <xdr:from>
      <xdr:col>8</xdr:col>
      <xdr:colOff>493395</xdr:colOff>
      <xdr:row>8</xdr:row>
      <xdr:rowOff>59984</xdr:rowOff>
    </xdr:from>
    <xdr:to>
      <xdr:col>13</xdr:col>
      <xdr:colOff>554355</xdr:colOff>
      <xdr:row>34</xdr:row>
      <xdr:rowOff>2052</xdr:rowOff>
    </xdr:to>
    <xdr:pic>
      <xdr:nvPicPr>
        <xdr:cNvPr id="4" name="Imagen 3">
          <a:extLst>
            <a:ext uri="{FF2B5EF4-FFF2-40B4-BE49-F238E27FC236}">
              <a16:creationId xmlns:a16="http://schemas.microsoft.com/office/drawing/2014/main" id="{AC0AC5C6-2776-D008-E949-00DF81679166}"/>
            </a:ext>
          </a:extLst>
        </xdr:cNvPr>
        <xdr:cNvPicPr>
          <a:picLocks noChangeAspect="1"/>
        </xdr:cNvPicPr>
      </xdr:nvPicPr>
      <xdr:blipFill>
        <a:blip xmlns:r="http://schemas.openxmlformats.org/officeDocument/2006/relationships" r:embed="rId3"/>
        <a:stretch>
          <a:fillRect/>
        </a:stretch>
      </xdr:blipFill>
      <xdr:spPr>
        <a:xfrm>
          <a:off x="8694420" y="1488734"/>
          <a:ext cx="4019550" cy="4647418"/>
        </a:xfrm>
        <a:prstGeom prst="rect">
          <a:avLst/>
        </a:prstGeom>
      </xdr:spPr>
    </xdr:pic>
    <xdr:clientData/>
  </xdr:twoCellAnchor>
  <xdr:twoCellAnchor editAs="oneCell">
    <xdr:from>
      <xdr:col>3</xdr:col>
      <xdr:colOff>78106</xdr:colOff>
      <xdr:row>38</xdr:row>
      <xdr:rowOff>72391</xdr:rowOff>
    </xdr:from>
    <xdr:to>
      <xdr:col>11</xdr:col>
      <xdr:colOff>383052</xdr:colOff>
      <xdr:row>46</xdr:row>
      <xdr:rowOff>20956</xdr:rowOff>
    </xdr:to>
    <xdr:pic>
      <xdr:nvPicPr>
        <xdr:cNvPr id="8" name="Imagen 7">
          <a:extLst>
            <a:ext uri="{FF2B5EF4-FFF2-40B4-BE49-F238E27FC236}">
              <a16:creationId xmlns:a16="http://schemas.microsoft.com/office/drawing/2014/main" id="{16BD4CF9-AC98-4DA6-2248-6D315484CB68}"/>
            </a:ext>
          </a:extLst>
        </xdr:cNvPr>
        <xdr:cNvPicPr>
          <a:picLocks noChangeAspect="1"/>
        </xdr:cNvPicPr>
      </xdr:nvPicPr>
      <xdr:blipFill>
        <a:blip xmlns:r="http://schemas.openxmlformats.org/officeDocument/2006/relationships" r:embed="rId4"/>
        <a:stretch>
          <a:fillRect/>
        </a:stretch>
      </xdr:blipFill>
      <xdr:spPr>
        <a:xfrm>
          <a:off x="3497581" y="7511416"/>
          <a:ext cx="7458221" cy="1403985"/>
        </a:xfrm>
        <a:prstGeom prst="rect">
          <a:avLst/>
        </a:prstGeom>
      </xdr:spPr>
    </xdr:pic>
    <xdr:clientData/>
  </xdr:twoCellAnchor>
  <xdr:twoCellAnchor editAs="oneCell">
    <xdr:from>
      <xdr:col>11</xdr:col>
      <xdr:colOff>426720</xdr:colOff>
      <xdr:row>37</xdr:row>
      <xdr:rowOff>11399</xdr:rowOff>
    </xdr:from>
    <xdr:to>
      <xdr:col>18</xdr:col>
      <xdr:colOff>778414</xdr:colOff>
      <xdr:row>46</xdr:row>
      <xdr:rowOff>53680</xdr:rowOff>
    </xdr:to>
    <xdr:pic>
      <xdr:nvPicPr>
        <xdr:cNvPr id="9" name="Imagen 8">
          <a:extLst>
            <a:ext uri="{FF2B5EF4-FFF2-40B4-BE49-F238E27FC236}">
              <a16:creationId xmlns:a16="http://schemas.microsoft.com/office/drawing/2014/main" id="{DAC2A7B0-8262-70B2-85B9-68054EEC9CE8}"/>
            </a:ext>
          </a:extLst>
        </xdr:cNvPr>
        <xdr:cNvPicPr>
          <a:picLocks noChangeAspect="1"/>
        </xdr:cNvPicPr>
      </xdr:nvPicPr>
      <xdr:blipFill>
        <a:blip xmlns:r="http://schemas.openxmlformats.org/officeDocument/2006/relationships" r:embed="rId5"/>
        <a:stretch>
          <a:fillRect/>
        </a:stretch>
      </xdr:blipFill>
      <xdr:spPr>
        <a:xfrm>
          <a:off x="10999470" y="7269449"/>
          <a:ext cx="5889529" cy="1682486"/>
        </a:xfrm>
        <a:prstGeom prst="rect">
          <a:avLst/>
        </a:prstGeom>
      </xdr:spPr>
    </xdr:pic>
    <xdr:clientData/>
  </xdr:twoCellAnchor>
  <xdr:twoCellAnchor editAs="oneCell">
    <xdr:from>
      <xdr:col>1</xdr:col>
      <xdr:colOff>38100</xdr:colOff>
      <xdr:row>61</xdr:row>
      <xdr:rowOff>38100</xdr:rowOff>
    </xdr:from>
    <xdr:to>
      <xdr:col>3</xdr:col>
      <xdr:colOff>108550</xdr:colOff>
      <xdr:row>75</xdr:row>
      <xdr:rowOff>47625</xdr:rowOff>
    </xdr:to>
    <xdr:pic>
      <xdr:nvPicPr>
        <xdr:cNvPr id="10" name="Imagen 9">
          <a:extLst>
            <a:ext uri="{FF2B5EF4-FFF2-40B4-BE49-F238E27FC236}">
              <a16:creationId xmlns:a16="http://schemas.microsoft.com/office/drawing/2014/main" id="{61BC9FE1-AA12-2A40-A014-C62D22998197}"/>
            </a:ext>
          </a:extLst>
        </xdr:cNvPr>
        <xdr:cNvPicPr>
          <a:picLocks noChangeAspect="1"/>
        </xdr:cNvPicPr>
      </xdr:nvPicPr>
      <xdr:blipFill>
        <a:blip xmlns:r="http://schemas.openxmlformats.org/officeDocument/2006/relationships" r:embed="rId6"/>
        <a:stretch>
          <a:fillRect/>
        </a:stretch>
      </xdr:blipFill>
      <xdr:spPr>
        <a:xfrm>
          <a:off x="828675" y="11229975"/>
          <a:ext cx="2699350" cy="2543175"/>
        </a:xfrm>
        <a:prstGeom prst="rect">
          <a:avLst/>
        </a:prstGeom>
      </xdr:spPr>
    </xdr:pic>
    <xdr:clientData/>
  </xdr:twoCellAnchor>
  <xdr:twoCellAnchor editAs="oneCell">
    <xdr:from>
      <xdr:col>0</xdr:col>
      <xdr:colOff>771524</xdr:colOff>
      <xdr:row>38</xdr:row>
      <xdr:rowOff>72390</xdr:rowOff>
    </xdr:from>
    <xdr:to>
      <xdr:col>2</xdr:col>
      <xdr:colOff>1278622</xdr:colOff>
      <xdr:row>54</xdr:row>
      <xdr:rowOff>173753</xdr:rowOff>
    </xdr:to>
    <xdr:pic>
      <xdr:nvPicPr>
        <xdr:cNvPr id="11" name="Imagen 10">
          <a:extLst>
            <a:ext uri="{FF2B5EF4-FFF2-40B4-BE49-F238E27FC236}">
              <a16:creationId xmlns:a16="http://schemas.microsoft.com/office/drawing/2014/main" id="{7E86E7E7-C361-3F48-95BC-989923E91A1A}"/>
            </a:ext>
          </a:extLst>
        </xdr:cNvPr>
        <xdr:cNvPicPr>
          <a:picLocks noChangeAspect="1"/>
        </xdr:cNvPicPr>
      </xdr:nvPicPr>
      <xdr:blipFill>
        <a:blip xmlns:r="http://schemas.openxmlformats.org/officeDocument/2006/relationships" r:embed="rId7"/>
        <a:stretch>
          <a:fillRect/>
        </a:stretch>
      </xdr:blipFill>
      <xdr:spPr>
        <a:xfrm>
          <a:off x="771524" y="7197090"/>
          <a:ext cx="2615933" cy="3057923"/>
        </a:xfrm>
        <a:prstGeom prst="rect">
          <a:avLst/>
        </a:prstGeom>
      </xdr:spPr>
    </xdr:pic>
    <xdr:clientData/>
  </xdr:twoCellAnchor>
  <xdr:twoCellAnchor editAs="oneCell">
    <xdr:from>
      <xdr:col>3</xdr:col>
      <xdr:colOff>104775</xdr:colOff>
      <xdr:row>51</xdr:row>
      <xdr:rowOff>40005</xdr:rowOff>
    </xdr:from>
    <xdr:to>
      <xdr:col>17</xdr:col>
      <xdr:colOff>403661</xdr:colOff>
      <xdr:row>54</xdr:row>
      <xdr:rowOff>133435</xdr:rowOff>
    </xdr:to>
    <xdr:pic>
      <xdr:nvPicPr>
        <xdr:cNvPr id="12" name="Imagen 11">
          <a:extLst>
            <a:ext uri="{FF2B5EF4-FFF2-40B4-BE49-F238E27FC236}">
              <a16:creationId xmlns:a16="http://schemas.microsoft.com/office/drawing/2014/main" id="{71209125-7C9C-6429-446B-67C203C01D20}"/>
            </a:ext>
          </a:extLst>
        </xdr:cNvPr>
        <xdr:cNvPicPr>
          <a:picLocks noChangeAspect="1"/>
        </xdr:cNvPicPr>
      </xdr:nvPicPr>
      <xdr:blipFill>
        <a:blip xmlns:r="http://schemas.openxmlformats.org/officeDocument/2006/relationships" r:embed="rId8"/>
        <a:stretch>
          <a:fillRect/>
        </a:stretch>
      </xdr:blipFill>
      <xdr:spPr>
        <a:xfrm>
          <a:off x="3524250" y="9565005"/>
          <a:ext cx="12201326" cy="628735"/>
        </a:xfrm>
        <a:prstGeom prst="rect">
          <a:avLst/>
        </a:prstGeom>
      </xdr:spPr>
    </xdr:pic>
    <xdr:clientData/>
  </xdr:twoCellAnchor>
  <xdr:twoCellAnchor editAs="oneCell">
    <xdr:from>
      <xdr:col>3</xdr:col>
      <xdr:colOff>57150</xdr:colOff>
      <xdr:row>56</xdr:row>
      <xdr:rowOff>38100</xdr:rowOff>
    </xdr:from>
    <xdr:to>
      <xdr:col>12</xdr:col>
      <xdr:colOff>67785</xdr:colOff>
      <xdr:row>58</xdr:row>
      <xdr:rowOff>101025</xdr:rowOff>
    </xdr:to>
    <xdr:pic>
      <xdr:nvPicPr>
        <xdr:cNvPr id="13" name="Imagen 12">
          <a:extLst>
            <a:ext uri="{FF2B5EF4-FFF2-40B4-BE49-F238E27FC236}">
              <a16:creationId xmlns:a16="http://schemas.microsoft.com/office/drawing/2014/main" id="{7AF45A2E-31E2-8DE5-DC50-0B16F74B95DA}"/>
            </a:ext>
          </a:extLst>
        </xdr:cNvPr>
        <xdr:cNvPicPr>
          <a:picLocks noChangeAspect="1"/>
        </xdr:cNvPicPr>
      </xdr:nvPicPr>
      <xdr:blipFill>
        <a:blip xmlns:r="http://schemas.openxmlformats.org/officeDocument/2006/relationships" r:embed="rId9"/>
        <a:stretch>
          <a:fillRect/>
        </a:stretch>
      </xdr:blipFill>
      <xdr:spPr>
        <a:xfrm>
          <a:off x="3476625" y="10306050"/>
          <a:ext cx="7956390" cy="426780"/>
        </a:xfrm>
        <a:prstGeom prst="rect">
          <a:avLst/>
        </a:prstGeom>
      </xdr:spPr>
    </xdr:pic>
    <xdr:clientData/>
  </xdr:twoCellAnchor>
  <xdr:twoCellAnchor editAs="oneCell">
    <xdr:from>
      <xdr:col>3</xdr:col>
      <xdr:colOff>203833</xdr:colOff>
      <xdr:row>60</xdr:row>
      <xdr:rowOff>35433</xdr:rowOff>
    </xdr:from>
    <xdr:to>
      <xdr:col>9</xdr:col>
      <xdr:colOff>426720</xdr:colOff>
      <xdr:row>77</xdr:row>
      <xdr:rowOff>15687</xdr:rowOff>
    </xdr:to>
    <xdr:pic>
      <xdr:nvPicPr>
        <xdr:cNvPr id="14" name="Imagen 13">
          <a:extLst>
            <a:ext uri="{FF2B5EF4-FFF2-40B4-BE49-F238E27FC236}">
              <a16:creationId xmlns:a16="http://schemas.microsoft.com/office/drawing/2014/main" id="{E79A988F-3D14-8B18-9DD9-5D1CD257710F}"/>
            </a:ext>
          </a:extLst>
        </xdr:cNvPr>
        <xdr:cNvPicPr>
          <a:picLocks noChangeAspect="1"/>
        </xdr:cNvPicPr>
      </xdr:nvPicPr>
      <xdr:blipFill>
        <a:blip xmlns:r="http://schemas.openxmlformats.org/officeDocument/2006/relationships" r:embed="rId10"/>
        <a:stretch>
          <a:fillRect/>
        </a:stretch>
      </xdr:blipFill>
      <xdr:spPr>
        <a:xfrm>
          <a:off x="3623308" y="11046333"/>
          <a:ext cx="5795012" cy="3056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Disoalmo/Simulador.g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isoalmo/Simulador.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8FB5-94A2-4011-9B58-E3BB1E4D9529}">
  <dimension ref="B3:N60"/>
  <sheetViews>
    <sheetView workbookViewId="0">
      <selection activeCell="L72" sqref="L72"/>
    </sheetView>
  </sheetViews>
  <sheetFormatPr baseColWidth="10" defaultRowHeight="14.4" x14ac:dyDescent="0.3"/>
  <cols>
    <col min="2" max="3" width="19.21875" customWidth="1"/>
    <col min="4" max="4" width="23.6640625" customWidth="1"/>
  </cols>
  <sheetData>
    <row r="3" spans="2:14" x14ac:dyDescent="0.3">
      <c r="B3" s="63" t="s">
        <v>72</v>
      </c>
      <c r="C3" s="63"/>
      <c r="D3" s="63"/>
      <c r="E3" s="63"/>
      <c r="F3" s="63"/>
      <c r="G3" s="63"/>
      <c r="H3" s="63"/>
      <c r="I3" s="63"/>
      <c r="J3" s="63"/>
      <c r="K3" s="63"/>
      <c r="L3" s="63"/>
      <c r="M3" s="63"/>
      <c r="N3" s="63"/>
    </row>
    <row r="4" spans="2:14" x14ac:dyDescent="0.3">
      <c r="B4" s="63"/>
      <c r="C4" s="63"/>
      <c r="D4" s="63"/>
      <c r="E4" s="63"/>
      <c r="F4" s="63"/>
      <c r="G4" s="63"/>
      <c r="H4" s="63"/>
      <c r="I4" s="63"/>
      <c r="J4" s="63"/>
      <c r="K4" s="63"/>
      <c r="L4" s="63"/>
      <c r="M4" s="63"/>
      <c r="N4" s="63"/>
    </row>
    <row r="5" spans="2:14" ht="9" customHeight="1" x14ac:dyDescent="0.3"/>
    <row r="6" spans="2:14" ht="18" x14ac:dyDescent="0.35">
      <c r="D6" s="62" t="s">
        <v>189</v>
      </c>
      <c r="E6" s="62"/>
      <c r="F6" s="62"/>
      <c r="G6" s="62"/>
      <c r="H6" s="62"/>
      <c r="I6" s="62"/>
      <c r="J6" s="62"/>
      <c r="K6" s="62"/>
      <c r="L6" s="62"/>
      <c r="M6" s="62"/>
      <c r="N6" s="62"/>
    </row>
    <row r="8" spans="2:14" ht="15.6" x14ac:dyDescent="0.3">
      <c r="D8" s="60" t="s">
        <v>146</v>
      </c>
      <c r="E8" s="60"/>
      <c r="F8" s="60"/>
      <c r="G8" s="60"/>
      <c r="H8" s="60"/>
      <c r="J8" s="60" t="s">
        <v>147</v>
      </c>
      <c r="K8" s="60"/>
      <c r="L8" s="60"/>
      <c r="M8" s="60"/>
      <c r="N8" s="60"/>
    </row>
    <row r="35" spans="2:14" x14ac:dyDescent="0.3">
      <c r="B35" s="27"/>
      <c r="C35" s="27"/>
      <c r="D35" s="27"/>
      <c r="E35" s="27"/>
      <c r="F35" s="27"/>
      <c r="G35" s="27"/>
      <c r="H35" s="27"/>
      <c r="I35" s="27"/>
      <c r="J35" s="27"/>
      <c r="K35" s="27"/>
      <c r="L35" s="27"/>
      <c r="M35" s="27"/>
      <c r="N35" s="27"/>
    </row>
    <row r="37" spans="2:14" ht="18" x14ac:dyDescent="0.35">
      <c r="D37" s="62" t="s">
        <v>190</v>
      </c>
      <c r="E37" s="62"/>
      <c r="F37" s="62"/>
      <c r="G37" s="62"/>
      <c r="H37" s="62"/>
      <c r="I37" s="62"/>
      <c r="J37" s="62"/>
      <c r="K37" s="62"/>
      <c r="L37" s="62"/>
      <c r="M37" s="62"/>
      <c r="N37" s="62"/>
    </row>
    <row r="38" spans="2:14" ht="15.6" x14ac:dyDescent="0.3">
      <c r="E38" s="60" t="s">
        <v>146</v>
      </c>
      <c r="F38" s="60"/>
      <c r="G38" s="60"/>
    </row>
    <row r="49" spans="2:14" ht="18" x14ac:dyDescent="0.35">
      <c r="D49" s="62" t="s">
        <v>190</v>
      </c>
      <c r="E49" s="62"/>
      <c r="F49" s="62"/>
      <c r="G49" s="62"/>
      <c r="H49" s="62"/>
      <c r="I49" s="62"/>
      <c r="J49" s="62"/>
      <c r="K49" s="62"/>
      <c r="L49" s="62"/>
      <c r="M49" s="62"/>
      <c r="N49" s="62"/>
    </row>
    <row r="51" spans="2:14" ht="15.6" x14ac:dyDescent="0.3">
      <c r="E51" s="60" t="s">
        <v>146</v>
      </c>
      <c r="F51" s="60"/>
      <c r="G51" s="60"/>
      <c r="H51" s="61" t="s">
        <v>191</v>
      </c>
      <c r="I51" s="61"/>
      <c r="J51" s="61"/>
      <c r="K51" s="61"/>
    </row>
    <row r="56" spans="2:14" ht="15.6" x14ac:dyDescent="0.3">
      <c r="E56" s="60" t="s">
        <v>147</v>
      </c>
      <c r="F56" s="60"/>
      <c r="G56" s="60"/>
      <c r="H56" s="61" t="s">
        <v>194</v>
      </c>
      <c r="I56" s="61"/>
      <c r="J56" s="61"/>
      <c r="K56" s="61"/>
    </row>
    <row r="60" spans="2:14" x14ac:dyDescent="0.3">
      <c r="B60" s="27"/>
      <c r="C60" s="27"/>
      <c r="D60" s="27"/>
      <c r="E60" s="27"/>
      <c r="F60" s="27"/>
      <c r="G60" s="27"/>
      <c r="H60" s="27"/>
      <c r="I60" s="27"/>
      <c r="J60" s="27"/>
      <c r="K60" s="27"/>
      <c r="L60" s="27"/>
      <c r="M60" s="27"/>
      <c r="N60" s="27"/>
    </row>
  </sheetData>
  <mergeCells count="11">
    <mergeCell ref="D37:N37"/>
    <mergeCell ref="D49:N49"/>
    <mergeCell ref="D6:N6"/>
    <mergeCell ref="B3:N4"/>
    <mergeCell ref="D8:H8"/>
    <mergeCell ref="J8:N8"/>
    <mergeCell ref="E51:G51"/>
    <mergeCell ref="H51:K51"/>
    <mergeCell ref="E56:G56"/>
    <mergeCell ref="H56:K56"/>
    <mergeCell ref="E38:G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FB4D-3408-4C38-8405-A5F5E870D2F5}">
  <dimension ref="B2:J16"/>
  <sheetViews>
    <sheetView topLeftCell="A3" workbookViewId="0">
      <selection activeCell="L7" sqref="L7"/>
    </sheetView>
  </sheetViews>
  <sheetFormatPr baseColWidth="10" defaultRowHeight="14.4" x14ac:dyDescent="0.3"/>
  <cols>
    <col min="2" max="2" width="16" bestFit="1" customWidth="1"/>
    <col min="3" max="3" width="20.6640625" customWidth="1"/>
    <col min="4" max="4" width="30.21875" customWidth="1"/>
    <col min="5" max="10" width="22.44140625" customWidth="1"/>
  </cols>
  <sheetData>
    <row r="2" spans="2:10" ht="21" x14ac:dyDescent="0.3">
      <c r="B2" s="64" t="s">
        <v>73</v>
      </c>
      <c r="C2" s="65"/>
      <c r="D2" s="65"/>
      <c r="E2" s="65"/>
      <c r="F2" s="65"/>
      <c r="G2" s="65"/>
      <c r="H2" s="65"/>
      <c r="I2" s="65"/>
      <c r="J2" s="1"/>
    </row>
    <row r="3" spans="2:10" ht="15" thickBot="1" x14ac:dyDescent="0.35">
      <c r="B3" s="1"/>
      <c r="C3" s="1"/>
      <c r="D3" s="1"/>
      <c r="E3" s="1"/>
      <c r="F3" s="1"/>
      <c r="G3" s="1"/>
      <c r="H3" s="1"/>
      <c r="I3" s="1"/>
      <c r="J3" s="1"/>
    </row>
    <row r="4" spans="2:10" ht="43.8" thickBot="1" x14ac:dyDescent="0.35">
      <c r="B4" s="28" t="s">
        <v>74</v>
      </c>
      <c r="C4" s="28" t="s">
        <v>75</v>
      </c>
      <c r="D4" s="28" t="s">
        <v>9</v>
      </c>
      <c r="E4" s="28" t="s">
        <v>76</v>
      </c>
      <c r="F4" s="28" t="s">
        <v>12</v>
      </c>
      <c r="G4" s="28" t="s">
        <v>77</v>
      </c>
      <c r="H4" s="28" t="s">
        <v>78</v>
      </c>
      <c r="I4" s="28" t="s">
        <v>79</v>
      </c>
      <c r="J4" s="28" t="s">
        <v>80</v>
      </c>
    </row>
    <row r="5" spans="2:10" ht="144.6" thickBot="1" x14ac:dyDescent="0.35">
      <c r="B5" s="29" t="s">
        <v>81</v>
      </c>
      <c r="C5" s="30" t="s">
        <v>82</v>
      </c>
      <c r="D5" s="30" t="s">
        <v>83</v>
      </c>
      <c r="E5" s="31" t="s">
        <v>84</v>
      </c>
      <c r="F5" s="36" t="s">
        <v>66</v>
      </c>
      <c r="G5" s="32">
        <v>34</v>
      </c>
      <c r="H5" s="32">
        <v>1</v>
      </c>
      <c r="I5" s="32" t="s">
        <v>85</v>
      </c>
      <c r="J5" s="33" t="s">
        <v>86</v>
      </c>
    </row>
    <row r="6" spans="2:10" ht="101.4" thickBot="1" x14ac:dyDescent="0.35">
      <c r="B6" s="29" t="s">
        <v>29</v>
      </c>
      <c r="C6" s="30" t="s">
        <v>87</v>
      </c>
      <c r="D6" s="30" t="s">
        <v>88</v>
      </c>
      <c r="E6" s="32" t="s">
        <v>89</v>
      </c>
      <c r="F6" s="34" t="s">
        <v>90</v>
      </c>
      <c r="G6" s="32">
        <v>27</v>
      </c>
      <c r="H6" s="32">
        <v>2</v>
      </c>
      <c r="I6" s="32" t="s">
        <v>91</v>
      </c>
      <c r="J6" s="33" t="s">
        <v>92</v>
      </c>
    </row>
    <row r="7" spans="2:10" ht="101.4" thickBot="1" x14ac:dyDescent="0.35">
      <c r="B7" s="29" t="s">
        <v>93</v>
      </c>
      <c r="C7" s="30" t="s">
        <v>94</v>
      </c>
      <c r="D7" s="30" t="s">
        <v>95</v>
      </c>
      <c r="E7" s="32" t="s">
        <v>96</v>
      </c>
      <c r="F7" s="35" t="s">
        <v>103</v>
      </c>
      <c r="G7" s="32">
        <v>24</v>
      </c>
      <c r="H7" s="32">
        <v>3</v>
      </c>
      <c r="I7" s="32" t="s">
        <v>97</v>
      </c>
      <c r="J7" s="33" t="s">
        <v>98</v>
      </c>
    </row>
    <row r="8" spans="2:10" ht="87" thickBot="1" x14ac:dyDescent="0.35">
      <c r="B8" s="29" t="s">
        <v>99</v>
      </c>
      <c r="C8" s="30" t="s">
        <v>100</v>
      </c>
      <c r="D8" s="30" t="s">
        <v>101</v>
      </c>
      <c r="E8" s="32" t="s">
        <v>102</v>
      </c>
      <c r="F8" s="35" t="s">
        <v>103</v>
      </c>
      <c r="G8" s="32">
        <v>39</v>
      </c>
      <c r="H8" s="32">
        <v>4</v>
      </c>
      <c r="I8" s="32" t="s">
        <v>104</v>
      </c>
      <c r="J8" s="33"/>
    </row>
    <row r="9" spans="2:10" ht="144.6" thickBot="1" x14ac:dyDescent="0.35">
      <c r="B9" s="29" t="s">
        <v>105</v>
      </c>
      <c r="C9" s="30" t="s">
        <v>106</v>
      </c>
      <c r="D9" s="30" t="s">
        <v>107</v>
      </c>
      <c r="E9" s="32" t="s">
        <v>108</v>
      </c>
      <c r="F9" s="35" t="s">
        <v>103</v>
      </c>
      <c r="G9" s="32">
        <v>16</v>
      </c>
      <c r="H9" s="32">
        <v>5</v>
      </c>
      <c r="I9" s="32" t="s">
        <v>109</v>
      </c>
      <c r="J9" s="33" t="s">
        <v>110</v>
      </c>
    </row>
    <row r="10" spans="2:10" ht="159" thickBot="1" x14ac:dyDescent="0.35">
      <c r="B10" s="29" t="s">
        <v>111</v>
      </c>
      <c r="C10" s="30" t="s">
        <v>112</v>
      </c>
      <c r="D10" s="30" t="s">
        <v>113</v>
      </c>
      <c r="E10" s="32" t="s">
        <v>114</v>
      </c>
      <c r="F10" s="35" t="s">
        <v>103</v>
      </c>
      <c r="G10" s="32">
        <v>11</v>
      </c>
      <c r="H10" s="32">
        <v>6</v>
      </c>
      <c r="I10" s="32" t="s">
        <v>115</v>
      </c>
      <c r="J10" s="33"/>
    </row>
    <row r="11" spans="2:10" ht="101.4" thickBot="1" x14ac:dyDescent="0.35">
      <c r="B11" s="29" t="s">
        <v>116</v>
      </c>
      <c r="C11" s="30" t="s">
        <v>117</v>
      </c>
      <c r="D11" s="30" t="s">
        <v>118</v>
      </c>
      <c r="E11" s="32" t="s">
        <v>119</v>
      </c>
      <c r="F11" s="35" t="s">
        <v>103</v>
      </c>
      <c r="G11" s="32">
        <v>33</v>
      </c>
      <c r="H11" s="32">
        <v>7</v>
      </c>
      <c r="I11" s="32" t="s">
        <v>120</v>
      </c>
      <c r="J11" s="33"/>
    </row>
    <row r="12" spans="2:10" ht="72.599999999999994" thickBot="1" x14ac:dyDescent="0.35">
      <c r="B12" s="29" t="s">
        <v>121</v>
      </c>
      <c r="C12" s="30" t="s">
        <v>122</v>
      </c>
      <c r="D12" s="30" t="s">
        <v>123</v>
      </c>
      <c r="E12" s="32" t="s">
        <v>124</v>
      </c>
      <c r="F12" s="35" t="s">
        <v>103</v>
      </c>
      <c r="G12" s="32">
        <v>6</v>
      </c>
      <c r="H12" s="32">
        <v>8</v>
      </c>
      <c r="I12" s="32" t="s">
        <v>125</v>
      </c>
      <c r="J12" s="33"/>
    </row>
    <row r="13" spans="2:10" ht="159" thickBot="1" x14ac:dyDescent="0.35">
      <c r="B13" s="29" t="s">
        <v>126</v>
      </c>
      <c r="C13" s="30" t="s">
        <v>127</v>
      </c>
      <c r="D13" s="30" t="s">
        <v>128</v>
      </c>
      <c r="E13" s="32" t="s">
        <v>129</v>
      </c>
      <c r="F13" s="35" t="s">
        <v>103</v>
      </c>
      <c r="G13" s="32">
        <v>38</v>
      </c>
      <c r="H13" s="32">
        <v>9</v>
      </c>
      <c r="I13" s="32" t="s">
        <v>130</v>
      </c>
      <c r="J13" s="33"/>
    </row>
    <row r="14" spans="2:10" ht="130.19999999999999" thickBot="1" x14ac:dyDescent="0.35">
      <c r="B14" s="29" t="s">
        <v>131</v>
      </c>
      <c r="C14" s="30" t="s">
        <v>132</v>
      </c>
      <c r="D14" s="30" t="s">
        <v>133</v>
      </c>
      <c r="E14" s="32" t="s">
        <v>134</v>
      </c>
      <c r="F14" s="35" t="s">
        <v>103</v>
      </c>
      <c r="G14" s="32">
        <v>59</v>
      </c>
      <c r="H14" s="32">
        <v>10</v>
      </c>
      <c r="I14" s="32" t="s">
        <v>135</v>
      </c>
      <c r="J14" s="33"/>
    </row>
    <row r="15" spans="2:10" ht="87" thickBot="1" x14ac:dyDescent="0.35">
      <c r="B15" s="29" t="s">
        <v>136</v>
      </c>
      <c r="C15" s="30" t="s">
        <v>137</v>
      </c>
      <c r="D15" s="30" t="s">
        <v>138</v>
      </c>
      <c r="E15" s="32" t="s">
        <v>139</v>
      </c>
      <c r="F15" s="35" t="s">
        <v>103</v>
      </c>
      <c r="G15" s="32">
        <v>38</v>
      </c>
      <c r="H15" s="32">
        <v>11</v>
      </c>
      <c r="I15" s="32" t="s">
        <v>140</v>
      </c>
      <c r="J15" s="33"/>
    </row>
    <row r="16" spans="2:10" ht="87" thickBot="1" x14ac:dyDescent="0.35">
      <c r="B16" s="29" t="s">
        <v>141</v>
      </c>
      <c r="C16" s="30" t="s">
        <v>142</v>
      </c>
      <c r="D16" s="30" t="s">
        <v>143</v>
      </c>
      <c r="E16" s="32" t="s">
        <v>144</v>
      </c>
      <c r="F16" s="35" t="s">
        <v>103</v>
      </c>
      <c r="G16" s="32">
        <v>27</v>
      </c>
      <c r="H16" s="32">
        <v>12</v>
      </c>
      <c r="I16" s="32" t="s">
        <v>145</v>
      </c>
      <c r="J16" s="33"/>
    </row>
  </sheetData>
  <mergeCells count="1">
    <mergeCell ref="B2:I2"/>
  </mergeCells>
  <hyperlinks>
    <hyperlink ref="B2" r:id="rId1" xr:uid="{BA5CC1AB-8C9D-4B54-A47D-AF115E9E01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16B9-AB4C-4D1E-A3D8-9CB07FA5C6E7}">
  <dimension ref="B4:I16"/>
  <sheetViews>
    <sheetView topLeftCell="A4" workbookViewId="0">
      <selection activeCell="J10" sqref="J10"/>
    </sheetView>
  </sheetViews>
  <sheetFormatPr baseColWidth="10" defaultRowHeight="14.4" x14ac:dyDescent="0.3"/>
  <cols>
    <col min="2" max="2" width="9.33203125" bestFit="1" customWidth="1"/>
    <col min="3" max="3" width="11.44140625" bestFit="1" customWidth="1"/>
    <col min="4" max="4" width="18.44140625" bestFit="1" customWidth="1"/>
    <col min="5" max="5" width="15.109375" bestFit="1" customWidth="1"/>
    <col min="6" max="6" width="11.33203125" bestFit="1" customWidth="1"/>
    <col min="7" max="7" width="15" bestFit="1" customWidth="1"/>
    <col min="8" max="8" width="12.33203125" bestFit="1" customWidth="1"/>
    <col min="9" max="9" width="28.44140625" customWidth="1"/>
  </cols>
  <sheetData>
    <row r="4" spans="2:9" ht="20.399999999999999" x14ac:dyDescent="0.3">
      <c r="B4" s="37"/>
      <c r="C4" s="66" t="s">
        <v>73</v>
      </c>
      <c r="D4" s="67"/>
      <c r="E4" s="67"/>
      <c r="F4" s="67"/>
      <c r="G4" s="67"/>
      <c r="H4" s="67"/>
      <c r="I4" s="37"/>
    </row>
    <row r="5" spans="2:9" ht="17.399999999999999" x14ac:dyDescent="0.3">
      <c r="B5" s="37"/>
      <c r="C5" s="38"/>
      <c r="D5" s="39"/>
      <c r="E5" s="39"/>
      <c r="F5" s="39"/>
      <c r="G5" s="39"/>
      <c r="H5" s="39"/>
      <c r="I5" s="37"/>
    </row>
    <row r="6" spans="2:9" ht="31.2" x14ac:dyDescent="0.3">
      <c r="B6" s="40" t="s">
        <v>148</v>
      </c>
      <c r="C6" s="41" t="s">
        <v>149</v>
      </c>
      <c r="D6" s="42" t="s">
        <v>150</v>
      </c>
      <c r="E6" s="41" t="s">
        <v>151</v>
      </c>
      <c r="F6" s="41"/>
      <c r="G6" s="41" t="s">
        <v>152</v>
      </c>
      <c r="H6" s="41" t="s">
        <v>153</v>
      </c>
      <c r="I6" s="41" t="s">
        <v>154</v>
      </c>
    </row>
    <row r="7" spans="2:9" ht="78" x14ac:dyDescent="0.3">
      <c r="B7" s="43" t="s">
        <v>155</v>
      </c>
      <c r="C7" s="44" t="s">
        <v>156</v>
      </c>
      <c r="D7" s="45">
        <v>34</v>
      </c>
      <c r="E7" s="45">
        <v>8</v>
      </c>
      <c r="F7" s="45" t="s">
        <v>157</v>
      </c>
      <c r="G7" s="46">
        <v>45936</v>
      </c>
      <c r="H7" s="46">
        <f>G7+9</f>
        <v>45945</v>
      </c>
      <c r="I7" s="47" t="s">
        <v>158</v>
      </c>
    </row>
    <row r="8" spans="2:9" ht="31.2" x14ac:dyDescent="0.3">
      <c r="B8" s="43" t="s">
        <v>159</v>
      </c>
      <c r="C8" s="44" t="s">
        <v>186</v>
      </c>
      <c r="D8" s="45">
        <v>27</v>
      </c>
      <c r="E8" s="45">
        <v>15</v>
      </c>
      <c r="F8" s="45" t="s">
        <v>160</v>
      </c>
      <c r="G8" s="46">
        <v>45962</v>
      </c>
      <c r="H8" s="46">
        <f>G8+14</f>
        <v>45976</v>
      </c>
      <c r="I8" s="47" t="s">
        <v>187</v>
      </c>
    </row>
    <row r="9" spans="2:9" ht="46.8" x14ac:dyDescent="0.3">
      <c r="B9" s="43" t="s">
        <v>161</v>
      </c>
      <c r="C9" s="44" t="s">
        <v>185</v>
      </c>
      <c r="D9" s="45">
        <v>27</v>
      </c>
      <c r="E9" s="45">
        <v>15</v>
      </c>
      <c r="F9" s="48" t="s">
        <v>160</v>
      </c>
      <c r="G9" s="46">
        <f>H8+1</f>
        <v>45977</v>
      </c>
      <c r="H9" s="46">
        <f>G9+14</f>
        <v>45991</v>
      </c>
      <c r="I9" s="47" t="s">
        <v>188</v>
      </c>
    </row>
    <row r="10" spans="2:9" ht="62.4" x14ac:dyDescent="0.3">
      <c r="B10" s="43" t="s">
        <v>164</v>
      </c>
      <c r="C10" s="44" t="s">
        <v>162</v>
      </c>
      <c r="D10" s="45">
        <v>39</v>
      </c>
      <c r="E10" s="45">
        <v>8</v>
      </c>
      <c r="F10" s="45" t="s">
        <v>157</v>
      </c>
      <c r="G10" s="46">
        <f t="shared" ref="G10:G16" si="0">H9+1</f>
        <v>45992</v>
      </c>
      <c r="H10" s="46">
        <f>G10+11</f>
        <v>46003</v>
      </c>
      <c r="I10" s="47" t="s">
        <v>163</v>
      </c>
    </row>
    <row r="11" spans="2:9" ht="62.4" x14ac:dyDescent="0.3">
      <c r="B11" s="43" t="s">
        <v>168</v>
      </c>
      <c r="C11" s="44" t="s">
        <v>165</v>
      </c>
      <c r="D11" s="45">
        <v>27</v>
      </c>
      <c r="E11" s="45">
        <v>9</v>
      </c>
      <c r="F11" s="45" t="s">
        <v>166</v>
      </c>
      <c r="G11" s="46">
        <f t="shared" si="0"/>
        <v>46004</v>
      </c>
      <c r="H11" s="46">
        <f>G11+12</f>
        <v>46016</v>
      </c>
      <c r="I11" s="47" t="s">
        <v>167</v>
      </c>
    </row>
    <row r="12" spans="2:9" ht="62.4" x14ac:dyDescent="0.3">
      <c r="B12" s="43" t="s">
        <v>171</v>
      </c>
      <c r="C12" s="44" t="s">
        <v>169</v>
      </c>
      <c r="D12" s="45">
        <v>39</v>
      </c>
      <c r="E12" s="45">
        <v>10</v>
      </c>
      <c r="F12" s="45" t="s">
        <v>166</v>
      </c>
      <c r="G12" s="46">
        <f t="shared" si="0"/>
        <v>46017</v>
      </c>
      <c r="H12" s="46">
        <f>G12+13</f>
        <v>46030</v>
      </c>
      <c r="I12" s="47" t="s">
        <v>170</v>
      </c>
    </row>
    <row r="13" spans="2:9" ht="78" x14ac:dyDescent="0.3">
      <c r="B13" s="43" t="s">
        <v>174</v>
      </c>
      <c r="C13" s="49" t="s">
        <v>172</v>
      </c>
      <c r="D13" s="45">
        <v>38</v>
      </c>
      <c r="E13" s="45">
        <v>9</v>
      </c>
      <c r="F13" s="45" t="s">
        <v>166</v>
      </c>
      <c r="G13" s="46">
        <f t="shared" si="0"/>
        <v>46031</v>
      </c>
      <c r="H13" s="46">
        <f>G13+10</f>
        <v>46041</v>
      </c>
      <c r="I13" s="47" t="s">
        <v>173</v>
      </c>
    </row>
    <row r="14" spans="2:9" ht="46.8" x14ac:dyDescent="0.3">
      <c r="B14" s="43" t="s">
        <v>177</v>
      </c>
      <c r="C14" s="44" t="s">
        <v>175</v>
      </c>
      <c r="D14" s="45">
        <v>59</v>
      </c>
      <c r="E14" s="45">
        <v>14</v>
      </c>
      <c r="F14" s="48" t="s">
        <v>160</v>
      </c>
      <c r="G14" s="46">
        <f t="shared" si="0"/>
        <v>46042</v>
      </c>
      <c r="H14" s="46">
        <f>G14+19</f>
        <v>46061</v>
      </c>
      <c r="I14" s="47" t="s">
        <v>176</v>
      </c>
    </row>
    <row r="15" spans="2:9" ht="31.2" x14ac:dyDescent="0.3">
      <c r="B15" s="43" t="s">
        <v>180</v>
      </c>
      <c r="C15" s="50" t="s">
        <v>178</v>
      </c>
      <c r="D15" s="45">
        <v>38</v>
      </c>
      <c r="E15" s="45">
        <v>10</v>
      </c>
      <c r="F15" s="45" t="s">
        <v>166</v>
      </c>
      <c r="G15" s="46">
        <f t="shared" si="0"/>
        <v>46062</v>
      </c>
      <c r="H15" s="46">
        <f>G15+13</f>
        <v>46075</v>
      </c>
      <c r="I15" s="47" t="s">
        <v>179</v>
      </c>
    </row>
    <row r="16" spans="2:9" ht="31.2" x14ac:dyDescent="0.3">
      <c r="B16" s="43" t="s">
        <v>184</v>
      </c>
      <c r="C16" s="50" t="s">
        <v>181</v>
      </c>
      <c r="D16" s="45">
        <v>27</v>
      </c>
      <c r="E16" s="45">
        <v>6</v>
      </c>
      <c r="F16" s="45" t="s">
        <v>182</v>
      </c>
      <c r="G16" s="46">
        <f t="shared" si="0"/>
        <v>46076</v>
      </c>
      <c r="H16" s="46">
        <f>G16+7</f>
        <v>46083</v>
      </c>
      <c r="I16" s="47" t="s">
        <v>183</v>
      </c>
    </row>
  </sheetData>
  <mergeCells count="1">
    <mergeCell ref="C4:H4"/>
  </mergeCells>
  <phoneticPr fontId="20" type="noConversion"/>
  <hyperlinks>
    <hyperlink ref="C4" r:id="rId1" xr:uid="{7E4A4BFA-1EBD-48DE-AF43-45DD45059D5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38"/>
  <sheetViews>
    <sheetView tabSelected="1" topLeftCell="A17" zoomScale="70" zoomScaleNormal="70" workbookViewId="0">
      <selection activeCell="M28" sqref="M28"/>
    </sheetView>
  </sheetViews>
  <sheetFormatPr baseColWidth="10" defaultColWidth="8.88671875" defaultRowHeight="14.4" x14ac:dyDescent="0.3"/>
  <cols>
    <col min="2" max="2" width="18.88671875" customWidth="1"/>
    <col min="3" max="3" width="26.33203125" customWidth="1"/>
    <col min="4" max="4" width="21.6640625" customWidth="1"/>
    <col min="5" max="5" width="12.21875" bestFit="1" customWidth="1"/>
    <col min="6" max="6" width="15.21875" bestFit="1" customWidth="1"/>
    <col min="7" max="7" width="11.77734375" style="12" customWidth="1"/>
    <col min="8" max="8" width="11.33203125" style="1" bestFit="1" customWidth="1"/>
    <col min="9" max="9" width="9" bestFit="1" customWidth="1"/>
    <col min="10" max="10" width="10.109375" bestFit="1" customWidth="1"/>
    <col min="11" max="11" width="8.109375" customWidth="1"/>
    <col min="12" max="12" width="7.88671875" bestFit="1" customWidth="1"/>
    <col min="13" max="13" width="10.6640625" bestFit="1" customWidth="1"/>
    <col min="14" max="14" width="8" bestFit="1" customWidth="1"/>
    <col min="15" max="15" width="8.77734375" bestFit="1" customWidth="1"/>
    <col min="16" max="16" width="9" bestFit="1" customWidth="1"/>
    <col min="17" max="17" width="10.109375" bestFit="1" customWidth="1"/>
    <col min="18" max="19" width="8.21875" bestFit="1" customWidth="1"/>
    <col min="20" max="20" width="10.6640625" bestFit="1" customWidth="1"/>
    <col min="21" max="23" width="10.6640625" customWidth="1"/>
    <col min="24" max="24" width="14.6640625" bestFit="1" customWidth="1"/>
  </cols>
  <sheetData>
    <row r="2" spans="2:24" x14ac:dyDescent="0.3">
      <c r="B2" s="1"/>
      <c r="C2" s="1"/>
      <c r="D2" s="1"/>
      <c r="E2" s="1"/>
      <c r="F2" s="1"/>
      <c r="G2" s="1"/>
      <c r="I2" s="1"/>
      <c r="J2" s="1"/>
      <c r="K2" s="1"/>
      <c r="L2" s="1"/>
      <c r="M2" s="1"/>
      <c r="N2" s="1"/>
      <c r="O2" s="1"/>
      <c r="P2" s="1"/>
      <c r="Q2" s="1"/>
      <c r="R2" s="1"/>
      <c r="S2" s="1"/>
      <c r="T2" s="1"/>
      <c r="U2" s="1"/>
      <c r="V2" s="1"/>
      <c r="W2" s="1"/>
      <c r="X2" s="1"/>
    </row>
    <row r="3" spans="2:24" ht="23.4" x14ac:dyDescent="0.3">
      <c r="B3" s="74" t="s">
        <v>70</v>
      </c>
      <c r="C3" s="74"/>
      <c r="D3" s="74"/>
      <c r="E3" s="74"/>
      <c r="F3" s="2"/>
      <c r="G3" s="22"/>
      <c r="H3" s="22"/>
      <c r="I3" s="2"/>
      <c r="J3" s="2"/>
      <c r="K3" s="2"/>
      <c r="L3" s="2"/>
      <c r="M3" s="2"/>
      <c r="N3" s="2"/>
      <c r="O3" s="2"/>
      <c r="P3" s="2"/>
      <c r="Q3" s="2"/>
      <c r="R3" s="2"/>
      <c r="S3" s="2"/>
      <c r="T3" s="2"/>
      <c r="U3" s="2"/>
      <c r="V3" s="2"/>
      <c r="W3" s="2"/>
      <c r="X3" s="2"/>
    </row>
    <row r="4" spans="2:24" ht="34.799999999999997" customHeight="1" x14ac:dyDescent="0.3">
      <c r="B4" s="3" t="s">
        <v>0</v>
      </c>
      <c r="C4" s="75" t="s">
        <v>71</v>
      </c>
      <c r="D4" s="76"/>
      <c r="E4" s="76"/>
      <c r="F4" s="4"/>
      <c r="G4" s="23"/>
      <c r="H4" s="23"/>
      <c r="I4" s="4" t="s">
        <v>1</v>
      </c>
      <c r="J4" s="4" t="s">
        <v>2</v>
      </c>
      <c r="K4" s="4" t="s">
        <v>3</v>
      </c>
      <c r="L4" s="4" t="s">
        <v>4</v>
      </c>
      <c r="M4" s="4" t="s">
        <v>5</v>
      </c>
      <c r="N4" s="4" t="s">
        <v>6</v>
      </c>
      <c r="O4" s="4" t="s">
        <v>7</v>
      </c>
      <c r="P4" s="4" t="s">
        <v>1</v>
      </c>
      <c r="Q4" s="4" t="s">
        <v>2</v>
      </c>
      <c r="R4" s="4" t="s">
        <v>3</v>
      </c>
      <c r="S4" s="4" t="s">
        <v>4</v>
      </c>
      <c r="T4" s="4" t="s">
        <v>5</v>
      </c>
      <c r="U4" s="4" t="s">
        <v>6</v>
      </c>
      <c r="V4" s="4" t="s">
        <v>7</v>
      </c>
      <c r="W4" s="4" t="s">
        <v>1</v>
      </c>
      <c r="X4" s="1"/>
    </row>
    <row r="5" spans="2:24" ht="15" thickBot="1" x14ac:dyDescent="0.35">
      <c r="B5" s="1"/>
      <c r="C5" s="1"/>
      <c r="D5" s="1"/>
      <c r="E5" s="1"/>
      <c r="F5" s="1"/>
      <c r="G5" s="1"/>
      <c r="I5" s="5">
        <v>45962</v>
      </c>
      <c r="J5" s="5">
        <v>45963</v>
      </c>
      <c r="K5" s="5">
        <v>45964</v>
      </c>
      <c r="L5" s="5">
        <v>45965</v>
      </c>
      <c r="M5" s="5">
        <v>45966</v>
      </c>
      <c r="N5" s="5">
        <v>45967</v>
      </c>
      <c r="O5" s="5">
        <v>45968</v>
      </c>
      <c r="P5" s="5">
        <v>45969</v>
      </c>
      <c r="Q5" s="5">
        <v>45970</v>
      </c>
      <c r="R5" s="5">
        <v>45971</v>
      </c>
      <c r="S5" s="5">
        <v>45972</v>
      </c>
      <c r="T5" s="5">
        <v>45973</v>
      </c>
      <c r="U5" s="5">
        <v>45974</v>
      </c>
      <c r="V5" s="5">
        <v>45975</v>
      </c>
      <c r="W5" s="5">
        <v>45976</v>
      </c>
      <c r="X5" s="1"/>
    </row>
    <row r="6" spans="2:24" ht="54.6" thickBot="1" x14ac:dyDescent="0.35">
      <c r="B6" s="6" t="s">
        <v>8</v>
      </c>
      <c r="C6" s="77" t="s">
        <v>9</v>
      </c>
      <c r="D6" s="78"/>
      <c r="E6" s="8" t="s">
        <v>10</v>
      </c>
      <c r="F6" s="7" t="s">
        <v>11</v>
      </c>
      <c r="G6" s="8" t="s">
        <v>12</v>
      </c>
      <c r="H6" s="8" t="s">
        <v>69</v>
      </c>
      <c r="I6" s="9" t="s">
        <v>13</v>
      </c>
      <c r="J6" s="10" t="s">
        <v>14</v>
      </c>
      <c r="K6" s="9" t="s">
        <v>15</v>
      </c>
      <c r="L6" s="9" t="s">
        <v>16</v>
      </c>
      <c r="M6" s="9" t="s">
        <v>17</v>
      </c>
      <c r="N6" s="9" t="s">
        <v>18</v>
      </c>
      <c r="O6" s="9" t="s">
        <v>19</v>
      </c>
      <c r="P6" s="9" t="s">
        <v>20</v>
      </c>
      <c r="Q6" s="10" t="s">
        <v>21</v>
      </c>
      <c r="R6" s="9" t="s">
        <v>22</v>
      </c>
      <c r="S6" s="9" t="s">
        <v>23</v>
      </c>
      <c r="T6" s="9" t="s">
        <v>24</v>
      </c>
      <c r="U6" s="9" t="s">
        <v>25</v>
      </c>
      <c r="V6" s="9" t="s">
        <v>26</v>
      </c>
      <c r="W6" s="9" t="s">
        <v>27</v>
      </c>
      <c r="X6" s="8" t="s">
        <v>28</v>
      </c>
    </row>
    <row r="7" spans="2:24" ht="21" x14ac:dyDescent="0.3">
      <c r="B7" s="13" t="s">
        <v>29</v>
      </c>
      <c r="C7" s="79" t="s">
        <v>30</v>
      </c>
      <c r="D7" s="80"/>
      <c r="E7" s="21"/>
      <c r="F7" s="11"/>
      <c r="G7" s="11"/>
      <c r="H7" s="11"/>
      <c r="I7" s="11"/>
      <c r="J7" s="51"/>
      <c r="K7" s="11"/>
      <c r="L7" s="11"/>
      <c r="M7" s="11"/>
      <c r="N7" s="11"/>
      <c r="O7" s="11"/>
      <c r="P7" s="11"/>
      <c r="Q7" s="51"/>
      <c r="R7" s="11"/>
      <c r="S7" s="11"/>
      <c r="T7" s="11"/>
      <c r="U7" s="11"/>
      <c r="V7" s="11"/>
      <c r="W7" s="11"/>
      <c r="X7" s="52"/>
    </row>
    <row r="8" spans="2:24" x14ac:dyDescent="0.3">
      <c r="B8" s="81" t="s">
        <v>32</v>
      </c>
      <c r="C8" s="18" t="s">
        <v>33</v>
      </c>
      <c r="D8" s="18"/>
      <c r="E8" s="16">
        <v>1</v>
      </c>
      <c r="F8" s="14" t="s">
        <v>31</v>
      </c>
      <c r="G8" s="25" t="s">
        <v>66</v>
      </c>
      <c r="H8" s="15">
        <v>1</v>
      </c>
      <c r="I8" s="53">
        <v>1</v>
      </c>
      <c r="J8" s="54"/>
      <c r="K8" s="53"/>
      <c r="L8" s="53"/>
      <c r="M8" s="53"/>
      <c r="N8" s="53"/>
      <c r="O8" s="53"/>
      <c r="P8" s="53"/>
      <c r="Q8" s="54"/>
      <c r="R8" s="53"/>
      <c r="S8" s="53"/>
      <c r="T8" s="53"/>
      <c r="U8" s="53"/>
      <c r="V8" s="53"/>
      <c r="W8" s="53"/>
      <c r="X8" s="53"/>
    </row>
    <row r="9" spans="2:24" ht="28.2" x14ac:dyDescent="0.3">
      <c r="B9" s="81"/>
      <c r="C9" s="18" t="s">
        <v>34</v>
      </c>
      <c r="D9" s="18"/>
      <c r="E9" s="16">
        <v>1</v>
      </c>
      <c r="F9" s="14" t="s">
        <v>31</v>
      </c>
      <c r="G9" s="25" t="s">
        <v>66</v>
      </c>
      <c r="H9" s="15">
        <v>1</v>
      </c>
      <c r="I9" s="53">
        <v>1</v>
      </c>
      <c r="J9" s="54"/>
      <c r="K9" s="53"/>
      <c r="L9" s="53"/>
      <c r="M9" s="53"/>
      <c r="N9" s="53"/>
      <c r="O9" s="53"/>
      <c r="P9" s="53"/>
      <c r="Q9" s="54"/>
      <c r="R9" s="53"/>
      <c r="S9" s="53"/>
      <c r="T9" s="53"/>
      <c r="U9" s="53"/>
      <c r="V9" s="53"/>
      <c r="W9" s="53"/>
      <c r="X9" s="53"/>
    </row>
    <row r="10" spans="2:24" x14ac:dyDescent="0.3">
      <c r="B10" s="81"/>
      <c r="C10" s="18" t="s">
        <v>35</v>
      </c>
      <c r="D10" s="18"/>
      <c r="E10" s="16">
        <v>1</v>
      </c>
      <c r="F10" s="14" t="s">
        <v>31</v>
      </c>
      <c r="G10" s="25" t="s">
        <v>66</v>
      </c>
      <c r="H10" s="15">
        <v>1</v>
      </c>
      <c r="I10" s="53">
        <v>1</v>
      </c>
      <c r="J10" s="54"/>
      <c r="K10" s="53"/>
      <c r="L10" s="53"/>
      <c r="M10" s="53"/>
      <c r="N10" s="53"/>
      <c r="O10" s="53"/>
      <c r="P10" s="53"/>
      <c r="Q10" s="54"/>
      <c r="R10" s="53"/>
      <c r="S10" s="53"/>
      <c r="T10" s="53"/>
      <c r="U10" s="53"/>
      <c r="V10" s="53"/>
      <c r="W10" s="53"/>
      <c r="X10" s="53"/>
    </row>
    <row r="11" spans="2:24" ht="28.2" x14ac:dyDescent="0.3">
      <c r="B11" s="81"/>
      <c r="C11" s="18" t="s">
        <v>36</v>
      </c>
      <c r="D11" s="18"/>
      <c r="E11" s="16">
        <v>1</v>
      </c>
      <c r="F11" s="14" t="s">
        <v>31</v>
      </c>
      <c r="G11" s="26" t="s">
        <v>68</v>
      </c>
      <c r="H11" s="15">
        <v>1</v>
      </c>
      <c r="I11" s="53"/>
      <c r="J11" s="54"/>
      <c r="K11" s="53">
        <v>1</v>
      </c>
      <c r="L11" s="53"/>
      <c r="M11" s="53"/>
      <c r="N11" s="53"/>
      <c r="O11" s="53"/>
      <c r="P11" s="53"/>
      <c r="Q11" s="54"/>
      <c r="R11" s="53"/>
      <c r="S11" s="53"/>
      <c r="T11" s="53"/>
      <c r="U11" s="53"/>
      <c r="V11" s="53"/>
      <c r="W11" s="53"/>
      <c r="X11" s="53"/>
    </row>
    <row r="12" spans="2:24" ht="28.2" x14ac:dyDescent="0.3">
      <c r="B12" s="73" t="s">
        <v>55</v>
      </c>
      <c r="C12" s="18" t="s">
        <v>37</v>
      </c>
      <c r="D12" s="18"/>
      <c r="E12" s="16">
        <v>1</v>
      </c>
      <c r="F12" s="14" t="s">
        <v>31</v>
      </c>
      <c r="G12" s="26" t="s">
        <v>68</v>
      </c>
      <c r="H12" s="15">
        <v>1</v>
      </c>
      <c r="I12" s="53"/>
      <c r="J12" s="54"/>
      <c r="K12" s="53">
        <v>1</v>
      </c>
      <c r="L12" s="53"/>
      <c r="M12" s="53"/>
      <c r="N12" s="53"/>
      <c r="O12" s="53"/>
      <c r="P12" s="53"/>
      <c r="Q12" s="54"/>
      <c r="R12" s="53"/>
      <c r="S12" s="53"/>
      <c r="T12" s="53"/>
      <c r="U12" s="53"/>
      <c r="V12" s="53"/>
      <c r="W12" s="53"/>
      <c r="X12" s="53"/>
    </row>
    <row r="13" spans="2:24" x14ac:dyDescent="0.3">
      <c r="B13" s="73"/>
      <c r="C13" s="73" t="s">
        <v>38</v>
      </c>
      <c r="D13" s="18" t="s">
        <v>39</v>
      </c>
      <c r="E13" s="16">
        <v>1</v>
      </c>
      <c r="F13" s="14" t="s">
        <v>31</v>
      </c>
      <c r="G13" s="69" t="s">
        <v>68</v>
      </c>
      <c r="H13" s="68">
        <v>3</v>
      </c>
      <c r="I13" s="53"/>
      <c r="J13" s="54"/>
      <c r="K13" s="53"/>
      <c r="L13" s="72">
        <v>3</v>
      </c>
      <c r="M13" s="53"/>
      <c r="N13" s="53"/>
      <c r="O13" s="53"/>
      <c r="P13" s="53"/>
      <c r="Q13" s="54"/>
      <c r="R13" s="53"/>
      <c r="S13" s="53"/>
      <c r="T13" s="53"/>
      <c r="U13" s="53"/>
      <c r="V13" s="53"/>
      <c r="W13" s="53"/>
      <c r="X13" s="53"/>
    </row>
    <row r="14" spans="2:24" x14ac:dyDescent="0.3">
      <c r="B14" s="73"/>
      <c r="C14" s="73"/>
      <c r="D14" s="18" t="s">
        <v>40</v>
      </c>
      <c r="E14" s="16">
        <v>1</v>
      </c>
      <c r="F14" s="14" t="s">
        <v>31</v>
      </c>
      <c r="G14" s="70"/>
      <c r="H14" s="68"/>
      <c r="I14" s="53"/>
      <c r="J14" s="54"/>
      <c r="K14" s="53"/>
      <c r="L14" s="72"/>
      <c r="M14" s="53"/>
      <c r="N14" s="53"/>
      <c r="O14" s="53"/>
      <c r="P14" s="53"/>
      <c r="Q14" s="54"/>
      <c r="R14" s="53"/>
      <c r="S14" s="53"/>
      <c r="T14" s="53"/>
      <c r="U14" s="53"/>
      <c r="V14" s="53"/>
      <c r="W14" s="53"/>
      <c r="X14" s="53"/>
    </row>
    <row r="15" spans="2:24" x14ac:dyDescent="0.3">
      <c r="B15" s="73"/>
      <c r="C15" s="73"/>
      <c r="D15" s="18" t="s">
        <v>41</v>
      </c>
      <c r="E15" s="16">
        <v>1</v>
      </c>
      <c r="F15" s="14" t="s">
        <v>31</v>
      </c>
      <c r="G15" s="70"/>
      <c r="H15" s="68"/>
      <c r="I15" s="53"/>
      <c r="J15" s="54"/>
      <c r="K15" s="53"/>
      <c r="L15" s="72"/>
      <c r="M15" s="53"/>
      <c r="N15" s="53"/>
      <c r="O15" s="53"/>
      <c r="P15" s="53"/>
      <c r="Q15" s="54"/>
      <c r="R15" s="53"/>
      <c r="S15" s="53"/>
      <c r="T15" s="53"/>
      <c r="U15" s="53"/>
      <c r="V15" s="53"/>
      <c r="W15" s="53"/>
      <c r="X15" s="53"/>
    </row>
    <row r="16" spans="2:24" ht="42" x14ac:dyDescent="0.3">
      <c r="B16" s="73"/>
      <c r="C16" s="73"/>
      <c r="D16" s="18" t="s">
        <v>42</v>
      </c>
      <c r="E16" s="16">
        <v>1</v>
      </c>
      <c r="F16" s="14" t="s">
        <v>31</v>
      </c>
      <c r="G16" s="71"/>
      <c r="H16" s="68"/>
      <c r="I16" s="53"/>
      <c r="J16" s="54"/>
      <c r="K16" s="53"/>
      <c r="L16" s="72"/>
      <c r="M16" s="53"/>
      <c r="N16" s="53"/>
      <c r="O16" s="53"/>
      <c r="P16" s="53"/>
      <c r="Q16" s="54"/>
      <c r="R16" s="53"/>
      <c r="S16" s="53"/>
      <c r="T16" s="53"/>
      <c r="U16" s="53"/>
      <c r="V16" s="53"/>
      <c r="W16" s="53"/>
      <c r="X16" s="53"/>
    </row>
    <row r="17" spans="2:24" ht="28.2" x14ac:dyDescent="0.3">
      <c r="B17" s="73"/>
      <c r="C17" s="18" t="s">
        <v>49</v>
      </c>
      <c r="D17" s="20"/>
      <c r="E17" s="16">
        <v>1</v>
      </c>
      <c r="F17" s="14" t="s">
        <v>31</v>
      </c>
      <c r="G17" s="26" t="s">
        <v>68</v>
      </c>
      <c r="H17" s="15">
        <v>2</v>
      </c>
      <c r="I17" s="53"/>
      <c r="J17" s="54"/>
      <c r="K17" s="53"/>
      <c r="L17" s="53"/>
      <c r="M17" s="53">
        <v>2</v>
      </c>
      <c r="N17" s="53"/>
      <c r="O17" s="53"/>
      <c r="P17" s="53"/>
      <c r="Q17" s="54"/>
      <c r="R17" s="53"/>
      <c r="S17" s="53"/>
      <c r="T17" s="53"/>
      <c r="U17" s="53"/>
      <c r="V17" s="53"/>
      <c r="W17" s="53"/>
      <c r="X17" s="53"/>
    </row>
    <row r="18" spans="2:24" ht="28.2" x14ac:dyDescent="0.3">
      <c r="B18" s="73"/>
      <c r="C18" s="18" t="s">
        <v>48</v>
      </c>
      <c r="D18" s="20"/>
      <c r="E18" s="16">
        <v>1</v>
      </c>
      <c r="F18" s="14" t="s">
        <v>31</v>
      </c>
      <c r="G18" s="26" t="s">
        <v>68</v>
      </c>
      <c r="H18" s="15">
        <v>1</v>
      </c>
      <c r="I18" s="53"/>
      <c r="J18" s="54"/>
      <c r="K18" s="53"/>
      <c r="L18" s="53"/>
      <c r="M18" s="53">
        <v>1</v>
      </c>
      <c r="N18" s="53"/>
      <c r="O18" s="53"/>
      <c r="P18" s="53"/>
      <c r="Q18" s="54"/>
      <c r="R18" s="53"/>
      <c r="S18" s="53"/>
      <c r="T18" s="53"/>
      <c r="U18" s="53"/>
      <c r="V18" s="53"/>
      <c r="W18" s="53"/>
      <c r="X18" s="53"/>
    </row>
    <row r="19" spans="2:24" x14ac:dyDescent="0.3">
      <c r="B19" s="73"/>
      <c r="C19" s="73" t="s">
        <v>50</v>
      </c>
      <c r="D19" s="18" t="s">
        <v>51</v>
      </c>
      <c r="E19" s="16">
        <v>1</v>
      </c>
      <c r="F19" s="14" t="s">
        <v>31</v>
      </c>
      <c r="G19" s="69" t="s">
        <v>68</v>
      </c>
      <c r="H19" s="68">
        <v>2</v>
      </c>
      <c r="I19" s="53"/>
      <c r="J19" s="54"/>
      <c r="K19" s="53"/>
      <c r="L19" s="53"/>
      <c r="M19" s="53"/>
      <c r="N19" s="68">
        <v>2</v>
      </c>
      <c r="O19" s="53"/>
      <c r="P19" s="53"/>
      <c r="Q19" s="54"/>
      <c r="R19" s="53"/>
      <c r="S19" s="53"/>
      <c r="T19" s="53"/>
      <c r="U19" s="53"/>
      <c r="V19" s="53"/>
      <c r="W19" s="53"/>
      <c r="X19" s="53"/>
    </row>
    <row r="20" spans="2:24" x14ac:dyDescent="0.3">
      <c r="B20" s="73"/>
      <c r="C20" s="73"/>
      <c r="D20" s="18" t="s">
        <v>52</v>
      </c>
      <c r="E20" s="16">
        <v>1</v>
      </c>
      <c r="F20" s="14" t="s">
        <v>31</v>
      </c>
      <c r="G20" s="70"/>
      <c r="H20" s="68"/>
      <c r="I20" s="53"/>
      <c r="J20" s="54"/>
      <c r="K20" s="53"/>
      <c r="L20" s="53"/>
      <c r="M20" s="53"/>
      <c r="N20" s="68"/>
      <c r="O20" s="53"/>
      <c r="P20" s="53"/>
      <c r="Q20" s="54"/>
      <c r="R20" s="53"/>
      <c r="S20" s="53"/>
      <c r="T20" s="53"/>
      <c r="U20" s="53"/>
      <c r="V20" s="53"/>
      <c r="W20" s="53"/>
      <c r="X20" s="53"/>
    </row>
    <row r="21" spans="2:24" ht="28.2" x14ac:dyDescent="0.3">
      <c r="B21" s="73"/>
      <c r="C21" s="73"/>
      <c r="D21" s="18" t="s">
        <v>53</v>
      </c>
      <c r="E21" s="16">
        <v>1</v>
      </c>
      <c r="F21" s="14" t="s">
        <v>31</v>
      </c>
      <c r="G21" s="70"/>
      <c r="H21" s="68"/>
      <c r="I21" s="53"/>
      <c r="J21" s="54"/>
      <c r="K21" s="53"/>
      <c r="L21" s="53"/>
      <c r="M21" s="53"/>
      <c r="N21" s="68"/>
      <c r="O21" s="53"/>
      <c r="P21" s="53"/>
      <c r="Q21" s="54"/>
      <c r="R21" s="53"/>
      <c r="S21" s="53"/>
      <c r="T21" s="53"/>
      <c r="U21" s="53"/>
      <c r="V21" s="53"/>
      <c r="W21" s="53"/>
      <c r="X21" s="53"/>
    </row>
    <row r="22" spans="2:24" ht="28.2" x14ac:dyDescent="0.3">
      <c r="B22" s="73"/>
      <c r="C22" s="73"/>
      <c r="D22" s="18" t="s">
        <v>54</v>
      </c>
      <c r="E22" s="16">
        <v>1</v>
      </c>
      <c r="F22" s="14" t="s">
        <v>31</v>
      </c>
      <c r="G22" s="71"/>
      <c r="H22" s="68"/>
      <c r="I22" s="53"/>
      <c r="J22" s="54"/>
      <c r="K22" s="53"/>
      <c r="L22" s="53"/>
      <c r="M22" s="53"/>
      <c r="N22" s="68"/>
      <c r="O22" s="53"/>
      <c r="P22" s="53"/>
      <c r="Q22" s="54"/>
      <c r="R22" s="53"/>
      <c r="S22" s="53"/>
      <c r="T22" s="53"/>
      <c r="U22" s="53"/>
      <c r="V22" s="53"/>
      <c r="W22" s="53"/>
      <c r="X22" s="53"/>
    </row>
    <row r="23" spans="2:24" ht="28.2" x14ac:dyDescent="0.3">
      <c r="B23" s="73" t="s">
        <v>59</v>
      </c>
      <c r="C23" s="73" t="s">
        <v>43</v>
      </c>
      <c r="D23" s="18" t="s">
        <v>44</v>
      </c>
      <c r="E23" s="16">
        <v>1</v>
      </c>
      <c r="F23" s="14" t="s">
        <v>31</v>
      </c>
      <c r="G23" s="24" t="s">
        <v>67</v>
      </c>
      <c r="H23" s="15">
        <v>1</v>
      </c>
      <c r="I23" s="53"/>
      <c r="J23" s="54"/>
      <c r="K23" s="53"/>
      <c r="L23" s="53"/>
      <c r="M23" s="53"/>
      <c r="N23" s="53">
        <v>1</v>
      </c>
      <c r="O23" s="53"/>
      <c r="P23" s="53"/>
      <c r="Q23" s="54"/>
      <c r="R23" s="53"/>
      <c r="S23" s="53"/>
      <c r="T23" s="53"/>
      <c r="U23" s="53"/>
      <c r="V23" s="53"/>
      <c r="W23" s="53"/>
      <c r="X23" s="53"/>
    </row>
    <row r="24" spans="2:24" x14ac:dyDescent="0.3">
      <c r="B24" s="73"/>
      <c r="C24" s="73"/>
      <c r="D24" s="18" t="s">
        <v>45</v>
      </c>
      <c r="E24" s="16">
        <v>1</v>
      </c>
      <c r="F24" s="14" t="s">
        <v>31</v>
      </c>
      <c r="G24" s="24" t="s">
        <v>67</v>
      </c>
      <c r="H24" s="15">
        <v>1</v>
      </c>
      <c r="I24" s="53"/>
      <c r="J24" s="54"/>
      <c r="K24" s="53"/>
      <c r="L24" s="53"/>
      <c r="M24" s="53"/>
      <c r="N24" s="53">
        <v>1</v>
      </c>
      <c r="O24" s="53"/>
      <c r="P24" s="53"/>
      <c r="Q24" s="54"/>
      <c r="R24" s="53"/>
      <c r="S24" s="53"/>
      <c r="T24" s="53"/>
      <c r="U24" s="53"/>
      <c r="V24" s="53"/>
      <c r="W24" s="53"/>
      <c r="X24" s="53"/>
    </row>
    <row r="25" spans="2:24" x14ac:dyDescent="0.3">
      <c r="B25" s="73"/>
      <c r="C25" s="73"/>
      <c r="D25" s="18" t="s">
        <v>46</v>
      </c>
      <c r="E25" s="16">
        <v>1</v>
      </c>
      <c r="F25" s="14" t="s">
        <v>31</v>
      </c>
      <c r="G25" s="24" t="s">
        <v>67</v>
      </c>
      <c r="H25" s="15">
        <v>1</v>
      </c>
      <c r="I25" s="53"/>
      <c r="J25" s="54"/>
      <c r="K25" s="53"/>
      <c r="L25" s="53"/>
      <c r="M25" s="53"/>
      <c r="N25" s="53"/>
      <c r="O25" s="53">
        <v>1</v>
      </c>
      <c r="P25" s="53"/>
      <c r="Q25" s="54"/>
      <c r="R25" s="53"/>
      <c r="S25" s="53"/>
      <c r="T25" s="53"/>
      <c r="U25" s="53"/>
      <c r="V25" s="53"/>
      <c r="W25" s="53"/>
      <c r="X25" s="53"/>
    </row>
    <row r="26" spans="2:24" ht="28.2" x14ac:dyDescent="0.3">
      <c r="B26" s="73"/>
      <c r="C26" s="73"/>
      <c r="D26" s="18" t="s">
        <v>47</v>
      </c>
      <c r="E26" s="16">
        <v>1</v>
      </c>
      <c r="F26" s="14" t="s">
        <v>31</v>
      </c>
      <c r="G26" s="24" t="s">
        <v>67</v>
      </c>
      <c r="H26" s="15">
        <v>1</v>
      </c>
      <c r="I26" s="53"/>
      <c r="J26" s="54"/>
      <c r="K26" s="53"/>
      <c r="L26" s="53"/>
      <c r="M26" s="53"/>
      <c r="N26" s="53"/>
      <c r="O26" s="53">
        <v>1</v>
      </c>
      <c r="P26" s="53"/>
      <c r="Q26" s="54"/>
      <c r="R26" s="53"/>
      <c r="S26" s="53"/>
      <c r="T26" s="53"/>
      <c r="U26" s="53"/>
      <c r="V26" s="53"/>
      <c r="W26" s="53"/>
      <c r="X26" s="53"/>
    </row>
    <row r="27" spans="2:24" ht="28.2" x14ac:dyDescent="0.3">
      <c r="B27" s="73"/>
      <c r="C27" s="17" t="s">
        <v>56</v>
      </c>
      <c r="D27" s="20"/>
      <c r="E27" s="16">
        <v>1</v>
      </c>
      <c r="F27" s="14" t="s">
        <v>31</v>
      </c>
      <c r="G27" s="24" t="s">
        <v>67</v>
      </c>
      <c r="H27" s="15">
        <v>1</v>
      </c>
      <c r="I27" s="53"/>
      <c r="J27" s="54"/>
      <c r="K27" s="53"/>
      <c r="L27" s="53"/>
      <c r="M27" s="53"/>
      <c r="N27" s="53"/>
      <c r="O27" s="53">
        <v>1</v>
      </c>
      <c r="P27" s="53"/>
      <c r="Q27" s="54"/>
      <c r="R27" s="53"/>
      <c r="S27" s="53"/>
      <c r="T27" s="53"/>
      <c r="U27" s="53"/>
      <c r="V27" s="53"/>
      <c r="W27" s="53"/>
      <c r="X27" s="53"/>
    </row>
    <row r="28" spans="2:24" ht="42" x14ac:dyDescent="0.3">
      <c r="B28" s="73"/>
      <c r="C28" s="17" t="s">
        <v>58</v>
      </c>
      <c r="D28" s="20"/>
      <c r="E28" s="16">
        <v>1</v>
      </c>
      <c r="F28" s="14" t="s">
        <v>31</v>
      </c>
      <c r="G28" s="24" t="s">
        <v>67</v>
      </c>
      <c r="H28" s="15">
        <v>1</v>
      </c>
      <c r="I28" s="53"/>
      <c r="J28" s="54"/>
      <c r="K28" s="53"/>
      <c r="L28" s="53"/>
      <c r="M28" s="59"/>
      <c r="N28" s="53"/>
      <c r="O28" s="53"/>
      <c r="P28" s="53">
        <v>1</v>
      </c>
      <c r="Q28" s="54"/>
      <c r="R28" s="53"/>
      <c r="S28" s="53"/>
      <c r="T28" s="53"/>
      <c r="U28" s="53"/>
      <c r="V28" s="53"/>
      <c r="W28" s="53"/>
      <c r="X28" s="53"/>
    </row>
    <row r="29" spans="2:24" ht="42" x14ac:dyDescent="0.3">
      <c r="B29" s="73"/>
      <c r="C29" s="17" t="s">
        <v>57</v>
      </c>
      <c r="D29" s="20"/>
      <c r="E29" s="16">
        <v>1</v>
      </c>
      <c r="F29" s="14" t="s">
        <v>31</v>
      </c>
      <c r="G29" s="24" t="s">
        <v>67</v>
      </c>
      <c r="H29" s="15">
        <v>1</v>
      </c>
      <c r="I29" s="53"/>
      <c r="J29" s="54"/>
      <c r="K29" s="53"/>
      <c r="L29" s="53"/>
      <c r="M29" s="53"/>
      <c r="N29" s="53"/>
      <c r="O29" s="53"/>
      <c r="P29" s="53">
        <v>1</v>
      </c>
      <c r="Q29" s="54"/>
      <c r="R29" s="53"/>
      <c r="S29" s="53"/>
      <c r="T29" s="53"/>
      <c r="U29" s="53"/>
      <c r="V29" s="53"/>
      <c r="W29" s="53"/>
      <c r="X29" s="53"/>
    </row>
    <row r="30" spans="2:24" ht="28.2" x14ac:dyDescent="0.3">
      <c r="B30" s="19"/>
      <c r="C30" s="17" t="s">
        <v>64</v>
      </c>
      <c r="D30" s="20"/>
      <c r="E30" s="16">
        <v>1</v>
      </c>
      <c r="F30" s="14" t="s">
        <v>31</v>
      </c>
      <c r="G30" s="24" t="s">
        <v>67</v>
      </c>
      <c r="H30" s="15">
        <v>1</v>
      </c>
      <c r="I30" s="53"/>
      <c r="J30" s="54"/>
      <c r="K30" s="53"/>
      <c r="L30" s="53"/>
      <c r="M30" s="53"/>
      <c r="N30" s="53"/>
      <c r="O30" s="53"/>
      <c r="P30" s="53"/>
      <c r="Q30" s="54"/>
      <c r="R30" s="53">
        <v>1</v>
      </c>
      <c r="S30" s="53"/>
      <c r="T30" s="53"/>
      <c r="U30" s="53"/>
      <c r="V30" s="53"/>
      <c r="W30" s="53"/>
      <c r="X30" s="53"/>
    </row>
    <row r="31" spans="2:24" x14ac:dyDescent="0.3">
      <c r="B31" s="19"/>
      <c r="C31" s="17" t="s">
        <v>65</v>
      </c>
      <c r="D31" s="20"/>
      <c r="E31" s="16">
        <v>1</v>
      </c>
      <c r="F31" s="14" t="s">
        <v>31</v>
      </c>
      <c r="G31" s="24" t="s">
        <v>67</v>
      </c>
      <c r="H31" s="15">
        <v>1</v>
      </c>
      <c r="I31" s="53"/>
      <c r="J31" s="54"/>
      <c r="K31" s="53"/>
      <c r="L31" s="53"/>
      <c r="M31" s="53"/>
      <c r="N31" s="53"/>
      <c r="O31" s="53"/>
      <c r="P31" s="53"/>
      <c r="Q31" s="54"/>
      <c r="R31" s="53">
        <v>1</v>
      </c>
      <c r="S31" s="53"/>
      <c r="T31" s="53"/>
      <c r="U31" s="53"/>
      <c r="V31" s="53"/>
      <c r="W31" s="53"/>
      <c r="X31" s="53"/>
    </row>
    <row r="32" spans="2:24" ht="27.6" x14ac:dyDescent="0.3">
      <c r="B32" s="73" t="s">
        <v>60</v>
      </c>
      <c r="C32" s="19" t="s">
        <v>61</v>
      </c>
      <c r="D32" s="20"/>
      <c r="E32" s="16">
        <v>1</v>
      </c>
      <c r="F32" s="14" t="s">
        <v>31</v>
      </c>
      <c r="G32" s="24" t="s">
        <v>67</v>
      </c>
      <c r="H32" s="15">
        <v>5</v>
      </c>
      <c r="I32" s="53"/>
      <c r="J32" s="54"/>
      <c r="K32" s="53"/>
      <c r="L32" s="53"/>
      <c r="M32" s="53"/>
      <c r="N32" s="53"/>
      <c r="O32" s="53"/>
      <c r="P32" s="53"/>
      <c r="Q32" s="54"/>
      <c r="R32" s="53"/>
      <c r="S32" s="53">
        <v>2</v>
      </c>
      <c r="T32" s="53">
        <v>3</v>
      </c>
      <c r="U32" s="53"/>
      <c r="V32" s="53"/>
      <c r="W32" s="53"/>
      <c r="X32" s="53"/>
    </row>
    <row r="33" spans="2:24" x14ac:dyDescent="0.3">
      <c r="B33" s="73"/>
      <c r="C33" s="19" t="s">
        <v>62</v>
      </c>
      <c r="D33" s="20"/>
      <c r="E33" s="16">
        <v>1</v>
      </c>
      <c r="F33" s="14" t="s">
        <v>31</v>
      </c>
      <c r="G33" s="24" t="s">
        <v>67</v>
      </c>
      <c r="H33" s="15">
        <v>2</v>
      </c>
      <c r="I33" s="53"/>
      <c r="J33" s="54"/>
      <c r="K33" s="53"/>
      <c r="L33" s="53"/>
      <c r="M33" s="53"/>
      <c r="N33" s="53"/>
      <c r="O33" s="53"/>
      <c r="P33" s="53"/>
      <c r="Q33" s="54"/>
      <c r="R33" s="53"/>
      <c r="S33" s="53"/>
      <c r="T33" s="53"/>
      <c r="U33" s="53">
        <v>2</v>
      </c>
      <c r="V33" s="53"/>
      <c r="W33" s="53"/>
      <c r="X33" s="53"/>
    </row>
    <row r="34" spans="2:24" ht="27.6" x14ac:dyDescent="0.3">
      <c r="B34" s="73"/>
      <c r="C34" s="19" t="s">
        <v>63</v>
      </c>
      <c r="D34" s="20"/>
      <c r="E34" s="16">
        <v>1</v>
      </c>
      <c r="F34" s="14" t="s">
        <v>31</v>
      </c>
      <c r="G34" s="24" t="s">
        <v>67</v>
      </c>
      <c r="H34" s="15">
        <v>3</v>
      </c>
      <c r="I34" s="53"/>
      <c r="J34" s="54"/>
      <c r="K34" s="53"/>
      <c r="L34" s="53"/>
      <c r="M34" s="53"/>
      <c r="N34" s="53"/>
      <c r="O34" s="53"/>
      <c r="P34" s="53"/>
      <c r="Q34" s="54"/>
      <c r="R34" s="53"/>
      <c r="S34" s="53"/>
      <c r="T34" s="53"/>
      <c r="U34" s="53"/>
      <c r="V34" s="53">
        <v>3</v>
      </c>
      <c r="W34" s="53"/>
      <c r="X34" s="53"/>
    </row>
    <row r="36" spans="2:24" ht="15" thickBot="1" x14ac:dyDescent="0.35">
      <c r="I36" s="5">
        <v>45962</v>
      </c>
      <c r="J36" s="5">
        <v>45963</v>
      </c>
      <c r="K36" s="5">
        <v>45964</v>
      </c>
      <c r="L36" s="5">
        <v>45965</v>
      </c>
      <c r="M36" s="5">
        <v>45966</v>
      </c>
      <c r="N36" s="5">
        <v>45967</v>
      </c>
      <c r="O36" s="5">
        <v>45968</v>
      </c>
      <c r="P36" s="5">
        <v>45969</v>
      </c>
      <c r="Q36" s="5">
        <v>45970</v>
      </c>
      <c r="R36" s="5">
        <v>45971</v>
      </c>
      <c r="S36" s="5">
        <v>45972</v>
      </c>
      <c r="T36" s="5">
        <v>45973</v>
      </c>
      <c r="U36" s="5">
        <v>45974</v>
      </c>
      <c r="V36" s="5">
        <v>45975</v>
      </c>
      <c r="W36" s="5">
        <v>45976</v>
      </c>
    </row>
    <row r="37" spans="2:24" ht="16.2" thickBot="1" x14ac:dyDescent="0.35">
      <c r="E37" s="12">
        <f>SUM(E8:E34)</f>
        <v>27</v>
      </c>
      <c r="G37" s="56" t="s">
        <v>192</v>
      </c>
      <c r="H37" s="57">
        <f>SUM(H8:H34)</f>
        <v>32</v>
      </c>
      <c r="I37" s="57">
        <f>SUM(I8:I34)</f>
        <v>3</v>
      </c>
      <c r="J37" s="57">
        <f t="shared" ref="J37:X37" si="0">SUM(J8:J34)</f>
        <v>0</v>
      </c>
      <c r="K37" s="57">
        <f t="shared" si="0"/>
        <v>2</v>
      </c>
      <c r="L37" s="57">
        <f t="shared" si="0"/>
        <v>3</v>
      </c>
      <c r="M37" s="57">
        <f t="shared" si="0"/>
        <v>3</v>
      </c>
      <c r="N37" s="57">
        <f t="shared" si="0"/>
        <v>4</v>
      </c>
      <c r="O37" s="57">
        <f t="shared" si="0"/>
        <v>3</v>
      </c>
      <c r="P37" s="57">
        <f t="shared" si="0"/>
        <v>2</v>
      </c>
      <c r="Q37" s="57">
        <f t="shared" si="0"/>
        <v>0</v>
      </c>
      <c r="R37" s="57">
        <f t="shared" si="0"/>
        <v>2</v>
      </c>
      <c r="S37" s="57">
        <f t="shared" si="0"/>
        <v>2</v>
      </c>
      <c r="T37" s="57">
        <f t="shared" si="0"/>
        <v>3</v>
      </c>
      <c r="U37" s="57">
        <f t="shared" si="0"/>
        <v>2</v>
      </c>
      <c r="V37" s="57">
        <f t="shared" si="0"/>
        <v>3</v>
      </c>
      <c r="W37" s="57"/>
      <c r="X37" s="58">
        <f t="shared" si="0"/>
        <v>0</v>
      </c>
    </row>
    <row r="38" spans="2:24" ht="16.2" thickBot="1" x14ac:dyDescent="0.35">
      <c r="G38" s="55" t="s">
        <v>193</v>
      </c>
    </row>
  </sheetData>
  <mergeCells count="17">
    <mergeCell ref="B32:B34"/>
    <mergeCell ref="B3:E3"/>
    <mergeCell ref="C4:E4"/>
    <mergeCell ref="C6:D6"/>
    <mergeCell ref="C7:D7"/>
    <mergeCell ref="B8:B11"/>
    <mergeCell ref="C13:C16"/>
    <mergeCell ref="N19:N22"/>
    <mergeCell ref="C23:C26"/>
    <mergeCell ref="C19:C22"/>
    <mergeCell ref="B12:B22"/>
    <mergeCell ref="B23:B29"/>
    <mergeCell ref="H13:H16"/>
    <mergeCell ref="H19:H22"/>
    <mergeCell ref="G19:G22"/>
    <mergeCell ref="G13:G16"/>
    <mergeCell ref="L13:L16"/>
  </mergeCells>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Daily Meeting </vt:lpstr>
      <vt:lpstr>Backlog</vt:lpstr>
      <vt:lpstr>Calendarización</vt:lpstr>
      <vt:lpstr>Sprint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Alvarez</dc:creator>
  <cp:lastModifiedBy>Diana Alvarez</cp:lastModifiedBy>
  <dcterms:created xsi:type="dcterms:W3CDTF">2015-06-05T18:19:34Z</dcterms:created>
  <dcterms:modified xsi:type="dcterms:W3CDTF">2025-11-30T03:54:53Z</dcterms:modified>
</cp:coreProperties>
</file>